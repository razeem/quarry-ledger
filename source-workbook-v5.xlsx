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ehicle Rent" sheetId="2" state="visible" r:id="rId4"/>
    <sheet name="Legend" sheetId="3" state="visible" r:id="rId5"/>
    <sheet name="Daily Ledger" sheetId="4" state="visible" r:id="rId6"/>
    <sheet name="Monthly Commission SUMMARY" sheetId="5" state="visible" r:id="rId7"/>
    <sheet name="Crusher wise Summary" sheetId="6" state="visible" r:id="rId8"/>
    <sheet name="Crusher and Date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<sst xmlns="http://schemas.openxmlformats.org/spreadsheetml/2006/main" count="937" uniqueCount="240">
  <si>
    <t xml:space="preserve">← enter date here</t>
  </si>
  <si>
    <t xml:space="preserve">QTY (ton)</t>
  </si>
  <si>
    <t xml:space="preserve">Crusher Amount (₹)</t>
  </si>
  <si>
    <t xml:space="preserve">SUN Quary Amount (₹)</t>
  </si>
  <si>
    <t xml:space="preserve">Vehicle Rent (₹)</t>
  </si>
  <si>
    <t xml:space="preserve">Pass QTY</t>
  </si>
  <si>
    <t xml:space="preserve">Pass Profit</t>
  </si>
  <si>
    <t xml:space="preserve">WO Pass QTY</t>
  </si>
  <si>
    <t xml:space="preserve">WO Pass Profit</t>
  </si>
  <si>
    <t xml:space="preserve">Monthly Discount qty</t>
  </si>
  <si>
    <t xml:space="preserve">Monthly Discount (₹)</t>
  </si>
  <si>
    <t xml:space="preserve">Crusher</t>
  </si>
  <si>
    <t xml:space="preserve">Amount (₹)</t>
  </si>
  <si>
    <t xml:space="preserve">Quantity (Ton)</t>
  </si>
  <si>
    <t xml:space="preserve">Outside site No Profit</t>
  </si>
  <si>
    <t xml:space="preserve">MR Granites</t>
  </si>
  <si>
    <t xml:space="preserve">AVK</t>
  </si>
  <si>
    <t xml:space="preserve">AM Crusher</t>
  </si>
  <si>
    <t xml:space="preserve">Al Falah metal crusher</t>
  </si>
  <si>
    <t xml:space="preserve">Desinganad crusher</t>
  </si>
  <si>
    <t xml:space="preserve">Desinganad MR own crusher</t>
  </si>
  <si>
    <t xml:space="preserve">Mavila crusher</t>
  </si>
  <si>
    <t xml:space="preserve">Thangalathu Crusher</t>
  </si>
  <si>
    <t xml:space="preserve">Arun Kaavuvila</t>
  </si>
  <si>
    <t xml:space="preserve">Police Mahesh</t>
  </si>
  <si>
    <t xml:space="preserve">MR Oyoor</t>
  </si>
  <si>
    <t xml:space="preserve">Sooraj</t>
  </si>
  <si>
    <t xml:space="preserve">Kochammini</t>
  </si>
  <si>
    <t xml:space="preserve">Vehicle Number</t>
  </si>
  <si>
    <t xml:space="preserve">Owner Name</t>
  </si>
  <si>
    <t xml:space="preserve">Trips</t>
  </si>
  <si>
    <t xml:space="preserve">Total Qty (ton)</t>
  </si>
  <si>
    <t xml:space="preserve">Total Rent (₹)</t>
  </si>
  <si>
    <t xml:space="preserve">KL 05 AS 7477</t>
  </si>
  <si>
    <t xml:space="preserve">KL 02 BG 3968</t>
  </si>
  <si>
    <t xml:space="preserve">KL 21 U 5340</t>
  </si>
  <si>
    <t xml:space="preserve">KL 40 Q 3885</t>
  </si>
  <si>
    <t xml:space="preserve">Kl 25 Q 5299</t>
  </si>
  <si>
    <t xml:space="preserve">KL 07 CP 9255</t>
  </si>
  <si>
    <t xml:space="preserve">Kl 40 H 4079</t>
  </si>
  <si>
    <t xml:space="preserve">KL 14 AA 3499</t>
  </si>
  <si>
    <t xml:space="preserve">KL 05 AL 8530</t>
  </si>
  <si>
    <t xml:space="preserve">KL 26 F 9304</t>
  </si>
  <si>
    <t xml:space="preserve">KL 02 BS 9636</t>
  </si>
  <si>
    <t xml:space="preserve">KL 23 R 832</t>
  </si>
  <si>
    <t xml:space="preserve">KI 40 Q 3885</t>
  </si>
  <si>
    <t xml:space="preserve">KL 24 H 7798</t>
  </si>
  <si>
    <t xml:space="preserve">KL 61 D 5401</t>
  </si>
  <si>
    <t xml:space="preserve">KI 02 AV 8003</t>
  </si>
  <si>
    <t xml:space="preserve">KL 58 V 5636</t>
  </si>
  <si>
    <t xml:space="preserve">KL 82 1325</t>
  </si>
  <si>
    <t xml:space="preserve">KL 34 E 6356</t>
  </si>
  <si>
    <t xml:space="preserve">KI 16 X 5898</t>
  </si>
  <si>
    <t xml:space="preserve">KI 24 Q 6748</t>
  </si>
  <si>
    <t xml:space="preserve">KL 24 H 6714</t>
  </si>
  <si>
    <t xml:space="preserve">KL 24 F 7719</t>
  </si>
  <si>
    <t xml:space="preserve">KL 02 AN 1378</t>
  </si>
  <si>
    <t xml:space="preserve">KL 45 S 9290</t>
  </si>
  <si>
    <t xml:space="preserve">KL 11 AV 3136</t>
  </si>
  <si>
    <t xml:space="preserve">KL 25 K 3127</t>
  </si>
  <si>
    <t xml:space="preserve">KL 16 Y 6260</t>
  </si>
  <si>
    <t xml:space="preserve">Total</t>
  </si>
  <si>
    <t xml:space="preserve">Rate Chart</t>
  </si>
  <si>
    <t xml:space="preserve">Type</t>
  </si>
  <si>
    <t xml:space="preserve">Quary</t>
  </si>
  <si>
    <t xml:space="preserve">Vehicle Rent</t>
  </si>
  <si>
    <t xml:space="preserve">Fayas Monthly Discount</t>
  </si>
  <si>
    <t xml:space="preserve">Pass</t>
  </si>
  <si>
    <t xml:space="preserve">WO Pass</t>
  </si>
  <si>
    <t xml:space="preserve">Name</t>
  </si>
  <si>
    <t xml:space="preserve">Arun 5340</t>
  </si>
  <si>
    <t xml:space="preserve">KL 55 U 6040</t>
  </si>
  <si>
    <t xml:space="preserve">Arun JP</t>
  </si>
  <si>
    <t xml:space="preserve">KL 37 C 6064</t>
  </si>
  <si>
    <t xml:space="preserve">Prashanth</t>
  </si>
  <si>
    <t xml:space="preserve">KL 51 M 6466</t>
  </si>
  <si>
    <t xml:space="preserve">Sreenandanam</t>
  </si>
  <si>
    <t xml:space="preserve">KL32T5450</t>
  </si>
  <si>
    <t xml:space="preserve">Brittoli</t>
  </si>
  <si>
    <t xml:space="preserve">KL22T9318</t>
  </si>
  <si>
    <t xml:space="preserve">Kulathinkara Own</t>
  </si>
  <si>
    <t xml:space="preserve">KL22U1246</t>
  </si>
  <si>
    <t xml:space="preserve">Note: Quary rates (Pass ₹650 / WO Pass ₹610) and crusher rates derived from the 29-Jul-26 ledger photos. Al Falah Pass rows used quary ₹640 that day.</t>
  </si>
  <si>
    <t xml:space="preserve">KL22T9364</t>
  </si>
  <si>
    <t xml:space="preserve">KL22T9297</t>
  </si>
  <si>
    <t xml:space="preserve">KL22T9334</t>
  </si>
  <si>
    <t xml:space="preserve">KL02BA4183</t>
  </si>
  <si>
    <t xml:space="preserve">SS Own</t>
  </si>
  <si>
    <t xml:space="preserve">KL 02 BY 0313</t>
  </si>
  <si>
    <t xml:space="preserve">KL 02 BD 8082</t>
  </si>
  <si>
    <t xml:space="preserve">KL 33 M 2074</t>
  </si>
  <si>
    <t xml:space="preserve">KL02BZ3326</t>
  </si>
  <si>
    <t xml:space="preserve">KL 16 X 5898</t>
  </si>
  <si>
    <t xml:space="preserve">Aju Ziyad</t>
  </si>
  <si>
    <t xml:space="preserve">Police</t>
  </si>
  <si>
    <t xml:space="preserve">KL 04 AN 2804</t>
  </si>
  <si>
    <t xml:space="preserve">Abhilash</t>
  </si>
  <si>
    <t xml:space="preserve">KL 16 T 4621</t>
  </si>
  <si>
    <t xml:space="preserve">KL 40 P 8334</t>
  </si>
  <si>
    <t xml:space="preserve">Ratheesh 8334</t>
  </si>
  <si>
    <t xml:space="preserve">KL 74 B 4600</t>
  </si>
  <si>
    <t xml:space="preserve">Sree Kovil</t>
  </si>
  <si>
    <t xml:space="preserve">KL 40 J 5545</t>
  </si>
  <si>
    <t xml:space="preserve">Unni</t>
  </si>
  <si>
    <t xml:space="preserve">KL 08 BE 3004</t>
  </si>
  <si>
    <t xml:space="preserve">KL 23 X 8725</t>
  </si>
  <si>
    <t xml:space="preserve">KL 66 C 7662</t>
  </si>
  <si>
    <t xml:space="preserve">Thansi</t>
  </si>
  <si>
    <t xml:space="preserve">KL 23 W 7205</t>
  </si>
  <si>
    <t xml:space="preserve">KL 23 W 7113</t>
  </si>
  <si>
    <t xml:space="preserve">KL 16 AC 7031</t>
  </si>
  <si>
    <t xml:space="preserve">KL 23 X 8760</t>
  </si>
  <si>
    <t xml:space="preserve">KL 40 H 4079</t>
  </si>
  <si>
    <t xml:space="preserve">KL 68 B 3599</t>
  </si>
  <si>
    <t xml:space="preserve">Unni Katta</t>
  </si>
  <si>
    <t xml:space="preserve">KL 32 T 5450</t>
  </si>
  <si>
    <t xml:space="preserve">Ijaz Ahammed Pallaickal</t>
  </si>
  <si>
    <t xml:space="preserve">KL 55 AF 6146</t>
  </si>
  <si>
    <t xml:space="preserve">KL 29 S 3592</t>
  </si>
  <si>
    <t xml:space="preserve">KL 16 Q 3039</t>
  </si>
  <si>
    <t xml:space="preserve">KL 01 CG 0377</t>
  </si>
  <si>
    <t xml:space="preserve">Prem</t>
  </si>
  <si>
    <t xml:space="preserve">KL 38 F 5846</t>
  </si>
  <si>
    <t xml:space="preserve">KL 16 W 5318</t>
  </si>
  <si>
    <t xml:space="preserve">KL 40 K 9862</t>
  </si>
  <si>
    <t xml:space="preserve">Rahul S Nath</t>
  </si>
  <si>
    <t xml:space="preserve">KL 02 AN 2804</t>
  </si>
  <si>
    <t xml:space="preserve">KL 64 D 1936</t>
  </si>
  <si>
    <t xml:space="preserve">KL 02 AQ 3375</t>
  </si>
  <si>
    <t xml:space="preserve">Gulshad</t>
  </si>
  <si>
    <t xml:space="preserve">KL 07 CF 4513</t>
  </si>
  <si>
    <t xml:space="preserve">Shinu Vanchiyoor</t>
  </si>
  <si>
    <t xml:space="preserve">KL 10 AZ 3689</t>
  </si>
  <si>
    <t xml:space="preserve">KL 65 Q 3354</t>
  </si>
  <si>
    <t xml:space="preserve">KL 24 Q 2041</t>
  </si>
  <si>
    <t xml:space="preserve">Vineeth</t>
  </si>
  <si>
    <t xml:space="preserve">KL 24 L 0547</t>
  </si>
  <si>
    <t xml:space="preserve">Riyas</t>
  </si>
  <si>
    <t xml:space="preserve">KL 21 Q 7602</t>
  </si>
  <si>
    <t xml:space="preserve">Ajaya Kumar</t>
  </si>
  <si>
    <t xml:space="preserve">KL 29 R 1666</t>
  </si>
  <si>
    <t xml:space="preserve">KL 24 L 547</t>
  </si>
  <si>
    <t xml:space="preserve">KL 25 Q 5299</t>
  </si>
  <si>
    <t xml:space="preserve">Kochammini own</t>
  </si>
  <si>
    <t xml:space="preserve">KL 41 K 3152</t>
  </si>
  <si>
    <t xml:space="preserve">Annop Eenthivaila</t>
  </si>
  <si>
    <t xml:space="preserve">KL 47 E 9226</t>
  </si>
  <si>
    <t xml:space="preserve">KL 69 B 9198</t>
  </si>
  <si>
    <t xml:space="preserve">KL 74 B 4500</t>
  </si>
  <si>
    <t xml:space="preserve">KL 74 B 4060</t>
  </si>
  <si>
    <t xml:space="preserve">KL 74 B 1060</t>
  </si>
  <si>
    <t xml:space="preserve">Ajin Rameshan</t>
  </si>
  <si>
    <t xml:space="preserve">KL24 H 6714</t>
  </si>
  <si>
    <t xml:space="preserve">KI 37 C 4480</t>
  </si>
  <si>
    <t xml:space="preserve">KL 33 N 3970</t>
  </si>
  <si>
    <t xml:space="preserve">KL 01 BX 2751</t>
  </si>
  <si>
    <t xml:space="preserve">KL 44 C 8333</t>
  </si>
  <si>
    <t xml:space="preserve">Amal Chathannoor</t>
  </si>
  <si>
    <t xml:space="preserve">Achu 3885</t>
  </si>
  <si>
    <t xml:space="preserve">KL 82 6403</t>
  </si>
  <si>
    <t xml:space="preserve">KI 16 Y 6260</t>
  </si>
  <si>
    <t xml:space="preserve">Akhilesh Sooraj</t>
  </si>
  <si>
    <t xml:space="preserve">KL 41 K 3119</t>
  </si>
  <si>
    <t xml:space="preserve">Aun 10 Wheel</t>
  </si>
  <si>
    <t xml:space="preserve">KL 69 C 8636</t>
  </si>
  <si>
    <t xml:space="preserve">Sanju Tipper</t>
  </si>
  <si>
    <t xml:space="preserve">KL 16 V 0160</t>
  </si>
  <si>
    <t xml:space="preserve">KL 17 N 9045</t>
  </si>
  <si>
    <t xml:space="preserve">KL 26 G 3556</t>
  </si>
  <si>
    <t xml:space="preserve">KI 36 F 6735</t>
  </si>
  <si>
    <t xml:space="preserve">Thulasi Pallickal</t>
  </si>
  <si>
    <t xml:space="preserve">KL 81 B 1075</t>
  </si>
  <si>
    <t xml:space="preserve">KL 05 AM 7829</t>
  </si>
  <si>
    <t xml:space="preserve">Sha 7829</t>
  </si>
  <si>
    <t xml:space="preserve">KL 22 Q 5638</t>
  </si>
  <si>
    <t xml:space="preserve">Siyad Aniyan Thakaraparambu</t>
  </si>
  <si>
    <t xml:space="preserve">KL 21 X 8683</t>
  </si>
  <si>
    <t xml:space="preserve">Sigma Rocks</t>
  </si>
  <si>
    <t xml:space="preserve">KL 24 T 7957</t>
  </si>
  <si>
    <t xml:space="preserve">Niju Ponmudi</t>
  </si>
  <si>
    <t xml:space="preserve">KL 16 W 4036</t>
  </si>
  <si>
    <t xml:space="preserve">Sanu 4036</t>
  </si>
  <si>
    <t xml:space="preserve">KI 21 V 1037</t>
  </si>
  <si>
    <t xml:space="preserve">KL 59 T 6509</t>
  </si>
  <si>
    <t xml:space="preserve">KI 40 K 9862</t>
  </si>
  <si>
    <t xml:space="preserve">KI 23 X 8725</t>
  </si>
  <si>
    <t xml:space="preserve">Sonet</t>
  </si>
  <si>
    <t xml:space="preserve">KI 24 H 6714</t>
  </si>
  <si>
    <t xml:space="preserve">KL 56 W 0904</t>
  </si>
  <si>
    <t xml:space="preserve">Akhil</t>
  </si>
  <si>
    <t xml:space="preserve">ANI AVK</t>
  </si>
  <si>
    <t xml:space="preserve">Karthika Arun</t>
  </si>
  <si>
    <t xml:space="preserve">Date</t>
  </si>
  <si>
    <t xml:space="preserve">Item Name</t>
  </si>
  <si>
    <t xml:space="preserve">Pass/with out pass</t>
  </si>
  <si>
    <t xml:space="preserve">Index Number</t>
  </si>
  <si>
    <t xml:space="preserve">Quary Rate</t>
  </si>
  <si>
    <t xml:space="preserve">Crusher Rate</t>
  </si>
  <si>
    <t xml:space="preserve">Vehicle Rent rate</t>
  </si>
  <si>
    <t xml:space="preserve">Monthly Commission Rate</t>
  </si>
  <si>
    <t xml:space="preserve">Crusher Amount</t>
  </si>
  <si>
    <t xml:space="preserve">SUN
Quary Amount (₹)</t>
  </si>
  <si>
    <t xml:space="preserve">Vehicle number</t>
  </si>
  <si>
    <t xml:space="preserve">Vehicle Ton</t>
  </si>
  <si>
    <t xml:space="preserve">Titan Rocks Old
Crusher Amount (₹)</t>
  </si>
  <si>
    <t xml:space="preserve">MR Granites
Crusher Amount (₹)</t>
  </si>
  <si>
    <t xml:space="preserve">MR Granites
Crusher Quantity (Ton)</t>
  </si>
  <si>
    <t xml:space="preserve">AVK
Crusher Amount (₹)</t>
  </si>
  <si>
    <t xml:space="preserve">AVK
Crusher Quantity (Ton)</t>
  </si>
  <si>
    <t xml:space="preserve">AM Crusher
Crusher Amount (₹)</t>
  </si>
  <si>
    <t xml:space="preserve">AM Crusher
Crusher Quantity (Ton)</t>
  </si>
  <si>
    <t xml:space="preserve">Al Falah metal crusher
Crusher Amount (₹)</t>
  </si>
  <si>
    <t xml:space="preserve">Al Falah metal crusher
Crusher Quantity (Ton)</t>
  </si>
  <si>
    <t xml:space="preserve">Desinganad crusher
Crusher Amount (₹)</t>
  </si>
  <si>
    <t xml:space="preserve">Desinganad crusher
Crusher Quantity (Ton)</t>
  </si>
  <si>
    <t xml:space="preserve">Desinganad MR own crusher
Crusher Amount (₹)</t>
  </si>
  <si>
    <t xml:space="preserve">Desinganad MR own crusher
Crusher Quantity (Ton)</t>
  </si>
  <si>
    <t xml:space="preserve">Mavila crusher
Crusher Amount (₹)</t>
  </si>
  <si>
    <t xml:space="preserve">Mavila crusher
Crusher Quantity (Ton)</t>
  </si>
  <si>
    <t xml:space="preserve">Thangalathu Crusher
Crusher Amount (₹)</t>
  </si>
  <si>
    <t xml:space="preserve">Thangalathu Crusher
Crusher Quantity (Ton)</t>
  </si>
  <si>
    <t xml:space="preserve">Arun Kaavuvila
Crusher Amount (₹)</t>
  </si>
  <si>
    <t xml:space="preserve">Arun Kaavuvila
Crusher Quantity (Ton)</t>
  </si>
  <si>
    <t xml:space="preserve">Police Mahesh
Crusher Amount (₹)</t>
  </si>
  <si>
    <t xml:space="preserve">Police Mahesh
Crusher Quantity (Ton)</t>
  </si>
  <si>
    <t xml:space="preserve">MR Oyoor
Crusher Amount (₹)</t>
  </si>
  <si>
    <t xml:space="preserve">MR Oyoor
Crusher Quantity (Ton)</t>
  </si>
  <si>
    <t xml:space="preserve">Sooraj
Crusher Amount (₹)</t>
  </si>
  <si>
    <t xml:space="preserve">Sooraj
Crusher Quantity (Ton)</t>
  </si>
  <si>
    <t xml:space="preserve">Kochammini
Crusher Amount (₹)</t>
  </si>
  <si>
    <t xml:space="preserve">Kochammini
Crusher Quantity (Ton)</t>
  </si>
  <si>
    <t xml:space="preserve">Monthly Discount</t>
  </si>
  <si>
    <t xml:space="preserve">Rock</t>
  </si>
  <si>
    <t xml:space="preserve">Titan Rocks</t>
  </si>
  <si>
    <t xml:space="preserve">MONTHLY COMMISSION / DISCOUNT SUMMARY</t>
  </si>
  <si>
    <t xml:space="preserve">Month</t>
  </si>
  <si>
    <t xml:space="preserve">Total QTY (ton)</t>
  </si>
  <si>
    <t xml:space="preserve">Discount QTY (ton)</t>
  </si>
  <si>
    <t xml:space="preserve">CRUSHER WISE SUMMARY (all dates)</t>
  </si>
  <si>
    <t xml:space="preserve">Profit (₹)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</si>
</sst>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0.00&quot; ton&quot;"/>
    <numFmt numFmtId="167" formatCode="\₹#,##0"/>
    <numFmt numFmtId="168" formatCode="mmm\-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9DAF8"/>
      </patternFill>
    </fill>
    <fill>
      <patternFill patternType="solid">
        <fgColor rgb="FFF4CCCC"/>
        <bgColor rgb="FFD9D9D9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5"/>
  </cols>
  <sheetData>
    <row r="2" customFormat="false" ht="16.15" hidden="false" customHeight="false" outlineLevel="0" collapsed="false">
      <c r="B2" s="1" t="str">
        <f aca="false">_xlfn.CONCAT("DAILY SUMMARY ",TEXT(B4,"dd-mmm-yy"))</f>
        <v>DAILY SUMMARY 29-Jul-26</v>
      </c>
      <c r="C2" s="1"/>
    </row>
    <row r="4" customFormat="false" ht="15" hidden="false" customHeight="false" outlineLevel="0" collapsed="false">
      <c r="B4" s="2" t="n">
        <v>46232</v>
      </c>
      <c r="C4" s="3" t="s">
        <v>0</v>
      </c>
    </row>
    <row r="6" customFormat="false" ht="15" hidden="false" customHeight="false" outlineLevel="0" collapsed="false">
      <c r="B6" s="4" t="s">
        <v>1</v>
      </c>
      <c r="C6" s="5" t="n">
        <f aca="false">SUMIFS('Daily Ledger'!$F:$F,'Daily Ledger'!$A:$A,$B$4)</f>
        <v>956.18</v>
      </c>
    </row>
    <row r="7" customFormat="false" ht="15" hidden="false" customHeight="false" outlineLevel="0" collapsed="false">
      <c r="B7" s="4" t="s">
        <v>2</v>
      </c>
      <c r="C7" s="6" t="n">
        <f aca="false">SUMIFS('Daily Ledger'!$K:$K,'Daily Ledger'!$A:$A,$B$4)</f>
        <v>778095.65</v>
      </c>
    </row>
    <row r="8" customFormat="false" ht="15" hidden="false" customHeight="false" outlineLevel="0" collapsed="false">
      <c r="B8" s="4" t="s">
        <v>3</v>
      </c>
      <c r="C8" s="6" t="n">
        <f aca="false">SUMIFS('Daily Ledger'!$L:$L,'Daily Ledger'!$A:$A,$B$4)</f>
        <v>607070</v>
      </c>
    </row>
    <row r="9" customFormat="false" ht="15" hidden="false" customHeight="false" outlineLevel="0" collapsed="false">
      <c r="B9" s="4" t="s">
        <v>4</v>
      </c>
      <c r="C9" s="6" t="n">
        <f aca="false">SUMIFS('Daily Ledger'!$O:$O,'Daily Ledger'!$A:$A,$B$4)</f>
        <v>137756.05</v>
      </c>
    </row>
    <row r="10" customFormat="false" ht="15" hidden="false" customHeight="false" outlineLevel="0" collapsed="false">
      <c r="B10" s="4" t="s">
        <v>5</v>
      </c>
      <c r="C10" s="5" t="n">
        <f aca="false">SUMIFS('Daily Ledger'!$AQ:$AQ,'Daily Ledger'!$A:$A,$B$4)</f>
        <v>603.13</v>
      </c>
    </row>
    <row r="11" customFormat="false" ht="15" hidden="false" customHeight="false" outlineLevel="0" collapsed="false">
      <c r="B11" s="4" t="s">
        <v>6</v>
      </c>
      <c r="C11" s="6" t="n">
        <f aca="false">SUMIFS('Daily Ledger'!$AR:$AR,'Daily Ledger'!$A:$A,$B$4)</f>
        <v>13879.35</v>
      </c>
    </row>
    <row r="12" customFormat="false" ht="15" hidden="false" customHeight="false" outlineLevel="0" collapsed="false">
      <c r="B12" s="4" t="s">
        <v>7</v>
      </c>
      <c r="C12" s="5" t="n">
        <f aca="false">SUMIFS('Daily Ledger'!$AS:$AS,'Daily Ledger'!$A:$A,$B$4)</f>
        <v>353.05</v>
      </c>
    </row>
    <row r="13" customFormat="false" ht="15" hidden="false" customHeight="false" outlineLevel="0" collapsed="false">
      <c r="B13" s="4" t="s">
        <v>8</v>
      </c>
      <c r="C13" s="6" t="n">
        <f aca="false">SUMIFS('Daily Ledger'!$AT:$AT,'Daily Ledger'!$A:$A,$B$4)</f>
        <v>19390.25</v>
      </c>
    </row>
    <row r="14" customFormat="false" ht="15" hidden="false" customHeight="false" outlineLevel="0" collapsed="false">
      <c r="B14" s="4" t="s">
        <v>9</v>
      </c>
      <c r="C14" s="5" t="n">
        <f aca="false">SUMIFS('Daily Ledger'!$AU:$AU,'Daily Ledger'!$A:$A,$B$4)</f>
        <v>386.58</v>
      </c>
    </row>
    <row r="15" customFormat="false" ht="15" hidden="false" customHeight="false" outlineLevel="0" collapsed="false">
      <c r="B15" s="4" t="s">
        <v>10</v>
      </c>
      <c r="C15" s="6" t="n">
        <f aca="false">SUMIFS('Daily Ledger'!$AV:$AV,'Daily Ledger'!$A:$A,$B$4)</f>
        <v>7731.6</v>
      </c>
    </row>
    <row r="17" customFormat="false" ht="15" hidden="false" customHeight="false" outlineLevel="0" collapsed="false">
      <c r="B17" s="7" t="s">
        <v>11</v>
      </c>
      <c r="C17" s="7" t="s">
        <v>12</v>
      </c>
      <c r="D17" s="7" t="s">
        <v>13</v>
      </c>
    </row>
    <row r="18" customFormat="false" ht="15" hidden="false" customHeight="false" outlineLevel="0" collapsed="false">
      <c r="B18" s="4" t="s">
        <v>14</v>
      </c>
      <c r="C18" s="6" t="n">
        <f aca="false">SUMIFS('Daily Ledger'!$K:$K,'Daily Ledger'!$A:$A,$B$4,'Daily Ledger'!$C:$C,$B18)</f>
        <v>0</v>
      </c>
      <c r="D18" s="5" t="n">
        <f aca="false">SUMIFS('Daily Ledger'!$F:$F,'Daily Ledger'!$A:$A,$B$4,'Daily Ledger'!$C:$C,$B18)</f>
        <v>0</v>
      </c>
    </row>
    <row r="19" customFormat="false" ht="15" hidden="false" customHeight="false" outlineLevel="0" collapsed="false">
      <c r="B19" s="4" t="s">
        <v>15</v>
      </c>
      <c r="C19" s="6" t="n">
        <f aca="false">SUMIFS('Daily Ledger'!$K:$K,'Daily Ledger'!$A:$A,$B$4,'Daily Ledger'!$C:$C,$B19)</f>
        <v>112650.75</v>
      </c>
      <c r="D19" s="5" t="n">
        <f aca="false">SUMIFS('Daily Ledger'!$F:$F,'Daily Ledger'!$A:$A,$B$4,'Daily Ledger'!$C:$C,$B19)</f>
        <v>166.89</v>
      </c>
    </row>
    <row r="20" customFormat="false" ht="15" hidden="false" customHeight="false" outlineLevel="0" collapsed="false">
      <c r="B20" s="4" t="s">
        <v>16</v>
      </c>
      <c r="C20" s="6" t="n">
        <f aca="false">SUMIFS('Daily Ledger'!$K:$K,'Daily Ledger'!$A:$A,$B$4,'Daily Ledger'!$C:$C,$B20)</f>
        <v>250083</v>
      </c>
      <c r="D20" s="5" t="n">
        <f aca="false">SUMIFS('Daily Ledger'!$F:$F,'Daily Ledger'!$A:$A,$B$4,'Daily Ledger'!$C:$C,$B20)</f>
        <v>277.87</v>
      </c>
    </row>
    <row r="21" customFormat="false" ht="15" hidden="false" customHeight="false" outlineLevel="0" collapsed="false">
      <c r="B21" s="4" t="s">
        <v>17</v>
      </c>
      <c r="C21" s="6" t="n">
        <f aca="false">SUMIFS('Daily Ledger'!$K:$K,'Daily Ledger'!$A:$A,$B$4,'Daily Ledger'!$C:$C,$B21)</f>
        <v>0</v>
      </c>
      <c r="D21" s="5" t="n">
        <f aca="false">SUMIFS('Daily Ledger'!$F:$F,'Daily Ledger'!$A:$A,$B$4,'Daily Ledger'!$C:$C,$B21)</f>
        <v>0</v>
      </c>
    </row>
    <row r="22" customFormat="false" ht="15" hidden="false" customHeight="false" outlineLevel="0" collapsed="false">
      <c r="B22" s="4" t="s">
        <v>18</v>
      </c>
      <c r="C22" s="6" t="n">
        <f aca="false">SUMIFS('Daily Ledger'!$K:$K,'Daily Ledger'!$A:$A,$B$4,'Daily Ledger'!$C:$C,$B22)</f>
        <v>168884.4</v>
      </c>
      <c r="D22" s="5" t="n">
        <f aca="false">SUMIFS('Daily Ledger'!$F:$F,'Daily Ledger'!$A:$A,$B$4,'Daily Ledger'!$C:$C,$B22)</f>
        <v>194.12</v>
      </c>
    </row>
    <row r="23" customFormat="false" ht="15" hidden="false" customHeight="false" outlineLevel="0" collapsed="false">
      <c r="B23" s="4" t="s">
        <v>19</v>
      </c>
      <c r="C23" s="6" t="n">
        <f aca="false">SUMIFS('Daily Ledger'!$K:$K,'Daily Ledger'!$A:$A,$B$4,'Daily Ledger'!$C:$C,$B23)</f>
        <v>141312.5</v>
      </c>
      <c r="D23" s="5" t="n">
        <f aca="false">SUMIFS('Daily Ledger'!$F:$F,'Daily Ledger'!$A:$A,$B$4,'Daily Ledger'!$C:$C,$B23)</f>
        <v>161.5</v>
      </c>
    </row>
    <row r="24" customFormat="false" ht="15" hidden="false" customHeight="false" outlineLevel="0" collapsed="false">
      <c r="B24" s="4" t="s">
        <v>20</v>
      </c>
      <c r="C24" s="6" t="n">
        <f aca="false">SUMIFS('Daily Ledger'!$K:$K,'Daily Ledger'!$A:$A,$B$4,'Daily Ledger'!$C:$C,$B24)</f>
        <v>57192.75</v>
      </c>
      <c r="D24" s="5" t="n">
        <f aca="false">SUMIFS('Daily Ledger'!$F:$F,'Daily Ledger'!$A:$A,$B$4,'Daily Ledger'!$C:$C,$B24)</f>
        <v>84.73</v>
      </c>
    </row>
    <row r="25" customFormat="false" ht="15" hidden="false" customHeight="false" outlineLevel="0" collapsed="false">
      <c r="B25" s="4" t="s">
        <v>21</v>
      </c>
      <c r="C25" s="6" t="n">
        <f aca="false">SUMIFS('Daily Ledger'!$K:$K,'Daily Ledger'!$A:$A,$B$4,'Daily Ledger'!$C:$C,$B25)</f>
        <v>0</v>
      </c>
      <c r="D25" s="5" t="n">
        <f aca="false">SUMIFS('Daily Ledger'!$F:$F,'Daily Ledger'!$A:$A,$B$4,'Daily Ledger'!$C:$C,$B25)</f>
        <v>0</v>
      </c>
    </row>
    <row r="26" customFormat="false" ht="15" hidden="false" customHeight="false" outlineLevel="0" collapsed="false">
      <c r="B26" s="4" t="s">
        <v>22</v>
      </c>
      <c r="C26" s="6" t="n">
        <f aca="false">SUMIFS('Daily Ledger'!$K:$K,'Daily Ledger'!$A:$A,$B$4,'Daily Ledger'!$C:$C,$B26)</f>
        <v>0</v>
      </c>
      <c r="D26" s="5" t="n">
        <f aca="false">SUMIFS('Daily Ledger'!$F:$F,'Daily Ledger'!$A:$A,$B$4,'Daily Ledger'!$C:$C,$B26)</f>
        <v>0</v>
      </c>
    </row>
    <row r="27" customFormat="false" ht="15" hidden="false" customHeight="false" outlineLevel="0" collapsed="false">
      <c r="B27" s="4" t="s">
        <v>23</v>
      </c>
      <c r="C27" s="6" t="n">
        <f aca="false">SUMIFS('Daily Ledger'!$K:$K,'Daily Ledger'!$A:$A,$B$4,'Daily Ledger'!$C:$C,$B27)</f>
        <v>0</v>
      </c>
      <c r="D27" s="5" t="n">
        <f aca="false">SUMIFS('Daily Ledger'!$F:$F,'Daily Ledger'!$A:$A,$B$4,'Daily Ledger'!$C:$C,$B27)</f>
        <v>0</v>
      </c>
    </row>
    <row r="28" customFormat="false" ht="15" hidden="false" customHeight="false" outlineLevel="0" collapsed="false">
      <c r="B28" s="4" t="s">
        <v>24</v>
      </c>
      <c r="C28" s="6" t="n">
        <f aca="false">SUMIFS('Daily Ledger'!$K:$K,'Daily Ledger'!$A:$A,$B$4,'Daily Ledger'!$C:$C,$B28)</f>
        <v>0</v>
      </c>
      <c r="D28" s="5" t="n">
        <f aca="false">SUMIFS('Daily Ledger'!$F:$F,'Daily Ledger'!$A:$A,$B$4,'Daily Ledger'!$C:$C,$B28)</f>
        <v>0</v>
      </c>
    </row>
    <row r="29" customFormat="false" ht="15" hidden="false" customHeight="false" outlineLevel="0" collapsed="false">
      <c r="B29" s="4" t="s">
        <v>25</v>
      </c>
      <c r="C29" s="6" t="n">
        <f aca="false">SUMIFS('Daily Ledger'!$K:$K,'Daily Ledger'!$A:$A,$B$4,'Daily Ledger'!$C:$C,$B29)</f>
        <v>47972.25</v>
      </c>
      <c r="D29" s="5" t="n">
        <f aca="false">SUMIFS('Daily Ledger'!$F:$F,'Daily Ledger'!$A:$A,$B$4,'Daily Ledger'!$C:$C,$B29)</f>
        <v>71.07</v>
      </c>
    </row>
    <row r="30" customFormat="false" ht="15" hidden="false" customHeight="false" outlineLevel="0" collapsed="false">
      <c r="B30" s="4" t="s">
        <v>26</v>
      </c>
      <c r="C30" s="6" t="n">
        <f aca="false">SUMIFS('Daily Ledger'!$K:$K,'Daily Ledger'!$A:$A,$B$4,'Daily Ledger'!$C:$C,$B30)</f>
        <v>0</v>
      </c>
      <c r="D30" s="5" t="n">
        <f aca="false">SUMIFS('Daily Ledger'!$F:$F,'Daily Ledger'!$A:$A,$B$4,'Daily Ledger'!$C:$C,$B30)</f>
        <v>0</v>
      </c>
    </row>
    <row r="31" customFormat="false" ht="15" hidden="false" customHeight="false" outlineLevel="0" collapsed="false">
      <c r="B31" s="4" t="s">
        <v>27</v>
      </c>
      <c r="C31" s="6" t="n">
        <f aca="false">SUMIFS('Daily Ledger'!$K:$K,'Daily Ledger'!$A:$A,$B$4,'Daily Ledger'!$C:$C,$B31)</f>
        <v>0</v>
      </c>
      <c r="D31" s="5" t="n">
        <f aca="false">SUMIFS('Daily Ledger'!$F:$F,'Daily Ledger'!$A:$A,$B$4,'Daily Ledger'!$C:$C,$B31)</f>
        <v>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6" min="4" style="0" width="14"/>
  </cols>
  <sheetData>
    <row r="2" customFormat="false" ht="16.15" hidden="false" customHeight="false" outlineLevel="0" collapsed="false">
      <c r="B2" s="1" t="str">
        <f aca="false">_xlfn.CONCAT("VEHICLE RENT ",TEXT(B4,"dd-mmm-yy"))</f>
        <v>VEHICLE RENT 29-Jul-26</v>
      </c>
      <c r="C2" s="1"/>
      <c r="D2" s="1"/>
    </row>
    <row r="4" customFormat="false" ht="15" hidden="false" customHeight="false" outlineLevel="0" collapsed="false">
      <c r="B4" s="2" t="n">
        <v>46232</v>
      </c>
      <c r="C4" s="3" t="s">
        <v>0</v>
      </c>
    </row>
    <row r="6" customFormat="false" ht="15" hidden="false" customHeight="false" outlineLevel="0" collapsed="false"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</row>
    <row r="7" customFormat="false" ht="15" hidden="false" customHeight="false" outlineLevel="0" collapsed="false">
      <c r="B7" s="4" t="s">
        <v>33</v>
      </c>
      <c r="C7" s="4" t="str">
        <f aca="false">IFERROR(VLOOKUP($B7,Legend!$B$20:$C$126,2,FALSE()),"")</f>
        <v>Sooraj</v>
      </c>
      <c r="D7" s="4" t="n">
        <f aca="false">COUNTIFS('Daily Ledger'!$M:$M,$B7,'Daily Ledger'!$A:$A,$B$4)</f>
        <v>1</v>
      </c>
      <c r="E7" s="5" t="n">
        <f aca="false">SUMIFS('Daily Ledger'!$F:$F,'Daily Ledger'!$M:$M,$B7,'Daily Ledger'!$A:$A,$B$4)</f>
        <v>33.53</v>
      </c>
      <c r="F7" s="6" t="n">
        <f aca="false">SUMIFS('Daily Ledger'!$O:$O,'Daily Ledger'!$M:$M,$B7,'Daily Ledger'!$A:$A,$B$4)</f>
        <v>7208.95</v>
      </c>
    </row>
    <row r="8" customFormat="false" ht="15" hidden="false" customHeight="false" outlineLevel="0" collapsed="false">
      <c r="B8" s="4" t="s">
        <v>34</v>
      </c>
      <c r="C8" s="4" t="str">
        <f aca="false">IFERROR(VLOOKUP($B8,Legend!$B$20:$C$126,2,FALSE()),"")</f>
        <v>Police</v>
      </c>
      <c r="D8" s="4" t="n">
        <f aca="false">COUNTIFS('Daily Ledger'!$M:$M,$B8,'Daily Ledger'!$A:$A,$B$4)</f>
        <v>0</v>
      </c>
      <c r="E8" s="5" t="n">
        <f aca="false">SUMIFS('Daily Ledger'!$F:$F,'Daily Ledger'!$M:$M,$B8,'Daily Ledger'!$A:$A,$B$4)</f>
        <v>0</v>
      </c>
      <c r="F8" s="6" t="n">
        <f aca="false">SUMIFS('Daily Ledger'!$O:$O,'Daily Ledger'!$M:$M,$B8,'Daily Ledger'!$A:$A,$B$4)</f>
        <v>0</v>
      </c>
    </row>
    <row r="9" customFormat="false" ht="15" hidden="false" customHeight="false" outlineLevel="0" collapsed="false">
      <c r="B9" s="4" t="s">
        <v>35</v>
      </c>
      <c r="C9" s="4" t="str">
        <f aca="false">IFERROR(VLOOKUP($B9,Legend!$B$20:$C$126,2,FALSE()),"")</f>
        <v>Arun 5340</v>
      </c>
      <c r="D9" s="4" t="n">
        <f aca="false">COUNTIFS('Daily Ledger'!$M:$M,$B9,'Daily Ledger'!$A:$A,$B$4)</f>
        <v>0</v>
      </c>
      <c r="E9" s="5" t="n">
        <f aca="false">SUMIFS('Daily Ledger'!$F:$F,'Daily Ledger'!$M:$M,$B9,'Daily Ledger'!$A:$A,$B$4)</f>
        <v>0</v>
      </c>
      <c r="F9" s="6" t="n">
        <f aca="false">SUMIFS('Daily Ledger'!$O:$O,'Daily Ledger'!$M:$M,$B9,'Daily Ledger'!$A:$A,$B$4)</f>
        <v>0</v>
      </c>
    </row>
    <row r="10" customFormat="false" ht="15" hidden="false" customHeight="false" outlineLevel="0" collapsed="false">
      <c r="B10" s="4" t="s">
        <v>36</v>
      </c>
      <c r="C10" s="4" t="str">
        <f aca="false">IFERROR(VLOOKUP($B10,Legend!$B$20:$C$126,2,FALSE()),"")</f>
        <v>Achu 3885</v>
      </c>
      <c r="D10" s="4" t="n">
        <f aca="false">COUNTIFS('Daily Ledger'!$M:$M,$B10,'Daily Ledger'!$A:$A,$B$4)</f>
        <v>0</v>
      </c>
      <c r="E10" s="5" t="n">
        <f aca="false">SUMIFS('Daily Ledger'!$F:$F,'Daily Ledger'!$M:$M,$B10,'Daily Ledger'!$A:$A,$B$4)</f>
        <v>0</v>
      </c>
      <c r="F10" s="6" t="n">
        <f aca="false">SUMIFS('Daily Ledger'!$O:$O,'Daily Ledger'!$M:$M,$B10,'Daily Ledger'!$A:$A,$B$4)</f>
        <v>0</v>
      </c>
    </row>
    <row r="11" customFormat="false" ht="15" hidden="false" customHeight="false" outlineLevel="0" collapsed="false">
      <c r="B11" s="4" t="s">
        <v>37</v>
      </c>
      <c r="C11" s="4" t="str">
        <f aca="false">IFERROR(VLOOKUP($B11,Legend!$B$20:$C$126,2,FALSE()),"")</f>
        <v>Kochammini own</v>
      </c>
      <c r="D11" s="4" t="n">
        <f aca="false">COUNTIFS('Daily Ledger'!$M:$M,$B11,'Daily Ledger'!$A:$A,$B$4)</f>
        <v>0</v>
      </c>
      <c r="E11" s="5" t="n">
        <f aca="false">SUMIFS('Daily Ledger'!$F:$F,'Daily Ledger'!$M:$M,$B11,'Daily Ledger'!$A:$A,$B$4)</f>
        <v>0</v>
      </c>
      <c r="F11" s="6" t="n">
        <f aca="false">SUMIFS('Daily Ledger'!$O:$O,'Daily Ledger'!$M:$M,$B11,'Daily Ledger'!$A:$A,$B$4)</f>
        <v>0</v>
      </c>
    </row>
    <row r="12" customFormat="false" ht="15" hidden="false" customHeight="false" outlineLevel="0" collapsed="false">
      <c r="B12" s="4" t="s">
        <v>38</v>
      </c>
      <c r="C12" s="4" t="str">
        <f aca="false">IFERROR(VLOOKUP($B12,Legend!$B$20:$C$126,2,FALSE()),"")</f>
        <v>Ajin Rameshan</v>
      </c>
      <c r="D12" s="4" t="n">
        <f aca="false">COUNTIFS('Daily Ledger'!$M:$M,$B12,'Daily Ledger'!$A:$A,$B$4)</f>
        <v>2</v>
      </c>
      <c r="E12" s="5" t="n">
        <f aca="false">SUMIFS('Daily Ledger'!$F:$F,'Daily Ledger'!$M:$M,$B12,'Daily Ledger'!$A:$A,$B$4)</f>
        <v>61.38</v>
      </c>
      <c r="F12" s="6" t="n">
        <f aca="false">SUMIFS('Daily Ledger'!$O:$O,'Daily Ledger'!$M:$M,$B12,'Daily Ledger'!$A:$A,$B$4)</f>
        <v>13196.5</v>
      </c>
    </row>
    <row r="13" customFormat="false" ht="15" hidden="false" customHeight="false" outlineLevel="0" collapsed="false">
      <c r="B13" s="4" t="s">
        <v>39</v>
      </c>
      <c r="C13" s="4" t="str">
        <f aca="false">IFERROR(VLOOKUP($B13,Legend!$B$20:$C$126,2,FALSE()),"")</f>
        <v>Police</v>
      </c>
      <c r="D13" s="4" t="n">
        <f aca="false">COUNTIFS('Daily Ledger'!$M:$M,$B13,'Daily Ledger'!$A:$A,$B$4)</f>
        <v>0</v>
      </c>
      <c r="E13" s="5" t="n">
        <f aca="false">SUMIFS('Daily Ledger'!$F:$F,'Daily Ledger'!$M:$M,$B13,'Daily Ledger'!$A:$A,$B$4)</f>
        <v>0</v>
      </c>
      <c r="F13" s="6" t="n">
        <f aca="false">SUMIFS('Daily Ledger'!$O:$O,'Daily Ledger'!$M:$M,$B13,'Daily Ledger'!$A:$A,$B$4)</f>
        <v>0</v>
      </c>
    </row>
    <row r="14" customFormat="false" ht="15" hidden="false" customHeight="false" outlineLevel="0" collapsed="false">
      <c r="B14" s="4" t="s">
        <v>40</v>
      </c>
      <c r="C14" s="4" t="str">
        <f aca="false">IFERROR(VLOOKUP($B14,Legend!$B$20:$C$126,2,FALSE()),"")</f>
        <v>ANI AVK</v>
      </c>
      <c r="D14" s="4" t="n">
        <f aca="false">COUNTIFS('Daily Ledger'!$M:$M,$B14,'Daily Ledger'!$A:$A,$B$4)</f>
        <v>2</v>
      </c>
      <c r="E14" s="5" t="n">
        <f aca="false">SUMIFS('Daily Ledger'!$F:$F,'Daily Ledger'!$M:$M,$B14,'Daily Ledger'!$A:$A,$B$4)</f>
        <v>66.79</v>
      </c>
      <c r="F14" s="6" t="n">
        <f aca="false">SUMIFS('Daily Ledger'!$O:$O,'Daily Ledger'!$M:$M,$B14,'Daily Ledger'!$A:$A,$B$4)</f>
        <v>15027.75</v>
      </c>
    </row>
    <row r="15" customFormat="false" ht="15" hidden="false" customHeight="false" outlineLevel="0" collapsed="false">
      <c r="B15" s="4" t="s">
        <v>41</v>
      </c>
      <c r="C15" s="4" t="str">
        <f aca="false">IFERROR(VLOOKUP($B15,Legend!$B$20:$C$126,2,FALSE()),"")</f>
        <v/>
      </c>
      <c r="D15" s="4" t="n">
        <f aca="false">COUNTIFS('Daily Ledger'!$M:$M,$B15,'Daily Ledger'!$A:$A,$B$4)</f>
        <v>0</v>
      </c>
      <c r="E15" s="5" t="n">
        <f aca="false">SUMIFS('Daily Ledger'!$F:$F,'Daily Ledger'!$M:$M,$B15,'Daily Ledger'!$A:$A,$B$4)</f>
        <v>0</v>
      </c>
      <c r="F15" s="6" t="n">
        <f aca="false">SUMIFS('Daily Ledger'!$O:$O,'Daily Ledger'!$M:$M,$B15,'Daily Ledger'!$A:$A,$B$4)</f>
        <v>0</v>
      </c>
    </row>
    <row r="16" customFormat="false" ht="15" hidden="false" customHeight="false" outlineLevel="0" collapsed="false">
      <c r="B16" s="4" t="s">
        <v>42</v>
      </c>
      <c r="C16" s="4" t="str">
        <f aca="false">IFERROR(VLOOKUP($B16,Legend!$B$20:$C$126,2,FALSE()),"")</f>
        <v/>
      </c>
      <c r="D16" s="4" t="n">
        <f aca="false">COUNTIFS('Daily Ledger'!$M:$M,$B16,'Daily Ledger'!$A:$A,$B$4)</f>
        <v>0</v>
      </c>
      <c r="E16" s="5" t="n">
        <f aca="false">SUMIFS('Daily Ledger'!$F:$F,'Daily Ledger'!$M:$M,$B16,'Daily Ledger'!$A:$A,$B$4)</f>
        <v>0</v>
      </c>
      <c r="F16" s="6" t="n">
        <f aca="false">SUMIFS('Daily Ledger'!$O:$O,'Daily Ledger'!$M:$M,$B16,'Daily Ledger'!$A:$A,$B$4)</f>
        <v>0</v>
      </c>
    </row>
    <row r="17" customFormat="false" ht="15" hidden="false" customHeight="false" outlineLevel="0" collapsed="false">
      <c r="B17" s="4" t="s">
        <v>43</v>
      </c>
      <c r="C17" s="4" t="str">
        <f aca="false">IFERROR(VLOOKUP($B17,Legend!$B$20:$C$126,2,FALSE()),"")</f>
        <v/>
      </c>
      <c r="D17" s="4" t="n">
        <f aca="false">COUNTIFS('Daily Ledger'!$M:$M,$B17,'Daily Ledger'!$A:$A,$B$4)</f>
        <v>0</v>
      </c>
      <c r="E17" s="5" t="n">
        <f aca="false">SUMIFS('Daily Ledger'!$F:$F,'Daily Ledger'!$M:$M,$B17,'Daily Ledger'!$A:$A,$B$4)</f>
        <v>0</v>
      </c>
      <c r="F17" s="6" t="n">
        <f aca="false">SUMIFS('Daily Ledger'!$O:$O,'Daily Ledger'!$M:$M,$B17,'Daily Ledger'!$A:$A,$B$4)</f>
        <v>0</v>
      </c>
    </row>
    <row r="18" customFormat="false" ht="15" hidden="false" customHeight="false" outlineLevel="0" collapsed="false">
      <c r="B18" s="4" t="s">
        <v>44</v>
      </c>
      <c r="C18" s="4" t="str">
        <f aca="false">IFERROR(VLOOKUP($B18,Legend!$B$20:$C$126,2,FALSE()),"")</f>
        <v/>
      </c>
      <c r="D18" s="4" t="n">
        <f aca="false">COUNTIFS('Daily Ledger'!$M:$M,$B18,'Daily Ledger'!$A:$A,$B$4)</f>
        <v>0</v>
      </c>
      <c r="E18" s="5" t="n">
        <f aca="false">SUMIFS('Daily Ledger'!$F:$F,'Daily Ledger'!$M:$M,$B18,'Daily Ledger'!$A:$A,$B$4)</f>
        <v>0</v>
      </c>
      <c r="F18" s="6" t="n">
        <f aca="false">SUMIFS('Daily Ledger'!$O:$O,'Daily Ledger'!$M:$M,$B18,'Daily Ledger'!$A:$A,$B$4)</f>
        <v>0</v>
      </c>
    </row>
    <row r="19" customFormat="false" ht="15" hidden="false" customHeight="false" outlineLevel="0" collapsed="false">
      <c r="B19" s="4" t="s">
        <v>45</v>
      </c>
      <c r="C19" s="4" t="str">
        <f aca="false">IFERROR(VLOOKUP($B19,Legend!$B$20:$C$126,2,FALSE()),"")</f>
        <v/>
      </c>
      <c r="D19" s="4" t="n">
        <f aca="false">COUNTIFS('Daily Ledger'!$M:$M,$B19,'Daily Ledger'!$A:$A,$B$4)</f>
        <v>2</v>
      </c>
      <c r="E19" s="5" t="n">
        <f aca="false">SUMIFS('Daily Ledger'!$F:$F,'Daily Ledger'!$M:$M,$B19,'Daily Ledger'!$A:$A,$B$4)</f>
        <v>65.4</v>
      </c>
      <c r="F19" s="6" t="n">
        <f aca="false">SUMIFS('Daily Ledger'!$O:$O,'Daily Ledger'!$M:$M,$B19,'Daily Ledger'!$A:$A,$B$4)</f>
        <v>14061</v>
      </c>
    </row>
    <row r="20" customFormat="false" ht="15" hidden="false" customHeight="false" outlineLevel="0" collapsed="false">
      <c r="B20" s="4" t="s">
        <v>46</v>
      </c>
      <c r="C20" s="4" t="str">
        <f aca="false">IFERROR(VLOOKUP($B20,Legend!$B$20:$C$126,2,FALSE()),"")</f>
        <v>Achu 3885</v>
      </c>
      <c r="D20" s="4" t="n">
        <f aca="false">COUNTIFS('Daily Ledger'!$M:$M,$B20,'Daily Ledger'!$A:$A,$B$4)</f>
        <v>2</v>
      </c>
      <c r="E20" s="5" t="n">
        <f aca="false">SUMIFS('Daily Ledger'!$F:$F,'Daily Ledger'!$M:$M,$B20,'Daily Ledger'!$A:$A,$B$4)</f>
        <v>63.29</v>
      </c>
      <c r="F20" s="6" t="n">
        <f aca="false">SUMIFS('Daily Ledger'!$O:$O,'Daily Ledger'!$M:$M,$B20,'Daily Ledger'!$A:$A,$B$4)</f>
        <v>13607.35</v>
      </c>
    </row>
    <row r="21" customFormat="false" ht="15" hidden="false" customHeight="false" outlineLevel="0" collapsed="false">
      <c r="B21" s="4" t="s">
        <v>47</v>
      </c>
      <c r="C21" s="4" t="str">
        <f aca="false">IFERROR(VLOOKUP($B21,Legend!$B$20:$C$126,2,FALSE()),"")</f>
        <v>Ijaz Ahammed Pallaickal</v>
      </c>
      <c r="D21" s="4" t="n">
        <f aca="false">COUNTIFS('Daily Ledger'!$M:$M,$B21,'Daily Ledger'!$A:$A,$B$4)</f>
        <v>2</v>
      </c>
      <c r="E21" s="5" t="n">
        <f aca="false">SUMIFS('Daily Ledger'!$F:$F,'Daily Ledger'!$M:$M,$B21,'Daily Ledger'!$A:$A,$B$4)</f>
        <v>62.15</v>
      </c>
      <c r="F21" s="6" t="n">
        <f aca="false">SUMIFS('Daily Ledger'!$O:$O,'Daily Ledger'!$M:$M,$B21,'Daily Ledger'!$A:$A,$B$4)</f>
        <v>13356</v>
      </c>
    </row>
    <row r="22" customFormat="false" ht="15" hidden="false" customHeight="false" outlineLevel="0" collapsed="false">
      <c r="B22" s="4" t="s">
        <v>48</v>
      </c>
      <c r="C22" s="4" t="str">
        <f aca="false">IFERROR(VLOOKUP($B22,Legend!$B$20:$C$126,2,FALSE()),"")</f>
        <v/>
      </c>
      <c r="D22" s="4" t="n">
        <f aca="false">COUNTIFS('Daily Ledger'!$M:$M,$B22,'Daily Ledger'!$A:$A,$B$4)</f>
        <v>2</v>
      </c>
      <c r="E22" s="5" t="n">
        <f aca="false">SUMIFS('Daily Ledger'!$F:$F,'Daily Ledger'!$M:$M,$B22,'Daily Ledger'!$A:$A,$B$4)</f>
        <v>65.06</v>
      </c>
      <c r="F22" s="6" t="n">
        <f aca="false">SUMIFS('Daily Ledger'!$O:$O,'Daily Ledger'!$M:$M,$B22,'Daily Ledger'!$A:$A,$B$4)</f>
        <v>0</v>
      </c>
    </row>
    <row r="23" customFormat="false" ht="15" hidden="false" customHeight="false" outlineLevel="0" collapsed="false">
      <c r="B23" s="4" t="s">
        <v>49</v>
      </c>
      <c r="C23" s="4" t="str">
        <f aca="false">IFERROR(VLOOKUP($B23,Legend!$B$20:$C$126,2,FALSE()),"")</f>
        <v>Siyad Aniyan Thakaraparambu</v>
      </c>
      <c r="D23" s="4" t="n">
        <f aca="false">COUNTIFS('Daily Ledger'!$M:$M,$B23,'Daily Ledger'!$A:$A,$B$4)</f>
        <v>2</v>
      </c>
      <c r="E23" s="5" t="n">
        <f aca="false">SUMIFS('Daily Ledger'!$F:$F,'Daily Ledger'!$M:$M,$B23,'Daily Ledger'!$A:$A,$B$4)</f>
        <v>65.25</v>
      </c>
      <c r="F23" s="6" t="n">
        <f aca="false">SUMIFS('Daily Ledger'!$O:$O,'Daily Ledger'!$M:$M,$B23,'Daily Ledger'!$A:$A,$B$4)</f>
        <v>14016.2</v>
      </c>
    </row>
    <row r="24" customFormat="false" ht="15" hidden="false" customHeight="false" outlineLevel="0" collapsed="false">
      <c r="B24" s="4" t="s">
        <v>50</v>
      </c>
      <c r="C24" s="4" t="str">
        <f aca="false">IFERROR(VLOOKUP($B24,Legend!$B$20:$C$126,2,FALSE()),"")</f>
        <v/>
      </c>
      <c r="D24" s="4" t="n">
        <f aca="false">COUNTIFS('Daily Ledger'!$M:$M,$B24,'Daily Ledger'!$A:$A,$B$4)</f>
        <v>2</v>
      </c>
      <c r="E24" s="5" t="n">
        <f aca="false">SUMIFS('Daily Ledger'!$F:$F,'Daily Ledger'!$M:$M,$B24,'Daily Ledger'!$A:$A,$B$4)</f>
        <v>62.85</v>
      </c>
      <c r="F24" s="6" t="n">
        <f aca="false">SUMIFS('Daily Ledger'!$O:$O,'Daily Ledger'!$M:$M,$B24,'Daily Ledger'!$A:$A,$B$4)</f>
        <v>0</v>
      </c>
    </row>
    <row r="25" customFormat="false" ht="15" hidden="false" customHeight="false" outlineLevel="0" collapsed="false">
      <c r="B25" s="4" t="s">
        <v>51</v>
      </c>
      <c r="C25" s="4" t="str">
        <f aca="false">IFERROR(VLOOKUP($B25,Legend!$B$20:$C$126,2,FALSE()),"")</f>
        <v>Siyad Aniyan Thakaraparambu</v>
      </c>
      <c r="D25" s="4" t="n">
        <f aca="false">COUNTIFS('Daily Ledger'!$M:$M,$B25,'Daily Ledger'!$A:$A,$B$4)</f>
        <v>2</v>
      </c>
      <c r="E25" s="5" t="n">
        <f aca="false">SUMIFS('Daily Ledger'!$F:$F,'Daily Ledger'!$M:$M,$B25,'Daily Ledger'!$A:$A,$B$4)</f>
        <v>67.46</v>
      </c>
      <c r="F25" s="6" t="n">
        <f aca="false">SUMIFS('Daily Ledger'!$O:$O,'Daily Ledger'!$M:$M,$B25,'Daily Ledger'!$A:$A,$B$4)</f>
        <v>14495.6</v>
      </c>
    </row>
    <row r="26" customFormat="false" ht="15" hidden="false" customHeight="false" outlineLevel="0" collapsed="false">
      <c r="B26" s="4" t="s">
        <v>52</v>
      </c>
      <c r="C26" s="4" t="str">
        <f aca="false">IFERROR(VLOOKUP($B26,Legend!$B$20:$C$126,2,FALSE()),"")</f>
        <v/>
      </c>
      <c r="D26" s="4" t="n">
        <f aca="false">COUNTIFS('Daily Ledger'!$M:$M,$B26,'Daily Ledger'!$A:$A,$B$4)</f>
        <v>1</v>
      </c>
      <c r="E26" s="5" t="n">
        <f aca="false">SUMIFS('Daily Ledger'!$F:$F,'Daily Ledger'!$M:$M,$B26,'Daily Ledger'!$A:$A,$B$4)</f>
        <v>21.33</v>
      </c>
      <c r="F26" s="6" t="n">
        <f aca="false">SUMIFS('Daily Ledger'!$O:$O,'Daily Ledger'!$M:$M,$B26,'Daily Ledger'!$A:$A,$B$4)</f>
        <v>5332.5</v>
      </c>
    </row>
    <row r="27" customFormat="false" ht="15" hidden="false" customHeight="false" outlineLevel="0" collapsed="false">
      <c r="B27" s="4" t="s">
        <v>53</v>
      </c>
      <c r="C27" s="4" t="str">
        <f aca="false">IFERROR(VLOOKUP($B27,Legend!$B$20:$C$126,2,FALSE()),"")</f>
        <v/>
      </c>
      <c r="D27" s="4" t="n">
        <f aca="false">COUNTIFS('Daily Ledger'!$M:$M,$B27,'Daily Ledger'!$A:$A,$B$4)</f>
        <v>2</v>
      </c>
      <c r="E27" s="5" t="n">
        <f aca="false">SUMIFS('Daily Ledger'!$F:$F,'Daily Ledger'!$M:$M,$B27,'Daily Ledger'!$A:$A,$B$4)</f>
        <v>40.93</v>
      </c>
      <c r="F27" s="6" t="n">
        <f aca="false">SUMIFS('Daily Ledger'!$O:$O,'Daily Ledger'!$M:$M,$B27,'Daily Ledger'!$A:$A,$B$4)</f>
        <v>0</v>
      </c>
    </row>
    <row r="28" customFormat="false" ht="15" hidden="false" customHeight="false" outlineLevel="0" collapsed="false">
      <c r="B28" s="4" t="s">
        <v>54</v>
      </c>
      <c r="C28" s="4" t="str">
        <f aca="false">IFERROR(VLOOKUP($B28,Legend!$B$20:$C$126,2,FALSE()),"")</f>
        <v/>
      </c>
      <c r="D28" s="4" t="n">
        <f aca="false">COUNTIFS('Daily Ledger'!$M:$M,$B28,'Daily Ledger'!$A:$A,$B$4)</f>
        <v>2</v>
      </c>
      <c r="E28" s="5" t="n">
        <f aca="false">SUMIFS('Daily Ledger'!$F:$F,'Daily Ledger'!$M:$M,$B28,'Daily Ledger'!$A:$A,$B$4)</f>
        <v>61</v>
      </c>
      <c r="F28" s="6" t="n">
        <f aca="false">SUMIFS('Daily Ledger'!$O:$O,'Daily Ledger'!$M:$M,$B28,'Daily Ledger'!$A:$A,$B$4)</f>
        <v>13113.5</v>
      </c>
    </row>
    <row r="29" customFormat="false" ht="15" hidden="false" customHeight="false" outlineLevel="0" collapsed="false">
      <c r="B29" s="4" t="s">
        <v>55</v>
      </c>
      <c r="C29" s="4" t="str">
        <f aca="false">IFERROR(VLOOKUP($B29,Legend!$B$20:$C$126,2,FALSE()),"")</f>
        <v/>
      </c>
      <c r="D29" s="4" t="n">
        <f aca="false">COUNTIFS('Daily Ledger'!$M:$M,$B29,'Daily Ledger'!$A:$A,$B$4)</f>
        <v>2</v>
      </c>
      <c r="E29" s="5" t="n">
        <f aca="false">SUMIFS('Daily Ledger'!$F:$F,'Daily Ledger'!$M:$M,$B29,'Daily Ledger'!$A:$A,$B$4)</f>
        <v>41.35</v>
      </c>
      <c r="F29" s="6" t="n">
        <f aca="false">SUMIFS('Daily Ledger'!$O:$O,'Daily Ledger'!$M:$M,$B29,'Daily Ledger'!$A:$A,$B$4)</f>
        <v>0</v>
      </c>
    </row>
    <row r="30" customFormat="false" ht="15" hidden="false" customHeight="false" outlineLevel="0" collapsed="false">
      <c r="B30" s="4" t="s">
        <v>56</v>
      </c>
      <c r="C30" s="4" t="str">
        <f aca="false">IFERROR(VLOOKUP($B30,Legend!$B$20:$C$126,2,FALSE()),"")</f>
        <v/>
      </c>
      <c r="D30" s="4" t="n">
        <f aca="false">COUNTIFS('Daily Ledger'!$M:$M,$B30,'Daily Ledger'!$A:$A,$B$4)</f>
        <v>2</v>
      </c>
      <c r="E30" s="5" t="n">
        <f aca="false">SUMIFS('Daily Ledger'!$F:$F,'Daily Ledger'!$M:$M,$B30,'Daily Ledger'!$A:$A,$B$4)</f>
        <v>41.43</v>
      </c>
      <c r="F30" s="6" t="n">
        <f aca="false">SUMIFS('Daily Ledger'!$O:$O,'Daily Ledger'!$M:$M,$B30,'Daily Ledger'!$A:$A,$B$4)</f>
        <v>0</v>
      </c>
    </row>
    <row r="31" customFormat="false" ht="15" hidden="false" customHeight="false" outlineLevel="0" collapsed="false">
      <c r="B31" s="4" t="s">
        <v>57</v>
      </c>
      <c r="C31" s="4" t="str">
        <f aca="false">IFERROR(VLOOKUP($B31,Legend!$B$20:$C$126,2,FALSE()),"")</f>
        <v/>
      </c>
      <c r="D31" s="4" t="n">
        <f aca="false">COUNTIFS('Daily Ledger'!$M:$M,$B31,'Daily Ledger'!$A:$A,$B$4)</f>
        <v>1</v>
      </c>
      <c r="E31" s="5" t="n">
        <f aca="false">SUMIFS('Daily Ledger'!$F:$F,'Daily Ledger'!$M:$M,$B31,'Daily Ledger'!$A:$A,$B$4)</f>
        <v>38.29</v>
      </c>
      <c r="F31" s="6" t="n">
        <f aca="false">SUMIFS('Daily Ledger'!$O:$O,'Daily Ledger'!$M:$M,$B31,'Daily Ledger'!$A:$A,$B$4)</f>
        <v>0</v>
      </c>
    </row>
    <row r="32" customFormat="false" ht="15" hidden="false" customHeight="false" outlineLevel="0" collapsed="false">
      <c r="B32" s="4" t="s">
        <v>58</v>
      </c>
      <c r="C32" s="4" t="str">
        <f aca="false">IFERROR(VLOOKUP($B32,Legend!$B$20:$C$126,2,FALSE()),"")</f>
        <v/>
      </c>
      <c r="D32" s="4" t="n">
        <f aca="false">COUNTIFS('Daily Ledger'!$M:$M,$B32,'Daily Ledger'!$A:$A,$B$4)</f>
        <v>1</v>
      </c>
      <c r="E32" s="5" t="n">
        <f aca="false">SUMIFS('Daily Ledger'!$F:$F,'Daily Ledger'!$M:$M,$B32,'Daily Ledger'!$A:$A,$B$4)</f>
        <v>32.78</v>
      </c>
      <c r="F32" s="6" t="n">
        <f aca="false">SUMIFS('Daily Ledger'!$O:$O,'Daily Ledger'!$M:$M,$B32,'Daily Ledger'!$A:$A,$B$4)</f>
        <v>0</v>
      </c>
    </row>
    <row r="33" customFormat="false" ht="15" hidden="false" customHeight="false" outlineLevel="0" collapsed="false">
      <c r="B33" s="4" t="s">
        <v>59</v>
      </c>
      <c r="C33" s="4" t="str">
        <f aca="false">IFERROR(VLOOKUP($B33,Legend!$B$20:$C$126,2,FALSE()),"")</f>
        <v>Thulasi Pallickal</v>
      </c>
      <c r="D33" s="4" t="n">
        <f aca="false">COUNTIFS('Daily Ledger'!$M:$M,$B33,'Daily Ledger'!$A:$A,$B$4)</f>
        <v>1</v>
      </c>
      <c r="E33" s="5" t="n">
        <f aca="false">SUMIFS('Daily Ledger'!$F:$F,'Daily Ledger'!$M:$M,$B33,'Daily Ledger'!$A:$A,$B$4)</f>
        <v>34.01</v>
      </c>
      <c r="F33" s="6" t="n">
        <f aca="false">SUMIFS('Daily Ledger'!$O:$O,'Daily Ledger'!$M:$M,$B33,'Daily Ledger'!$A:$A,$B$4)</f>
        <v>7482.2</v>
      </c>
    </row>
    <row r="34" customFormat="false" ht="15" hidden="false" customHeight="false" outlineLevel="0" collapsed="false">
      <c r="B34" s="4" t="s">
        <v>60</v>
      </c>
      <c r="C34" s="4" t="str">
        <f aca="false">IFERROR(VLOOKUP($B34,Legend!$B$20:$C$126,2,FALSE()),"")</f>
        <v/>
      </c>
      <c r="D34" s="4" t="n">
        <f aca="false">COUNTIFS('Daily Ledger'!$M:$M,$B34,'Daily Ledger'!$A:$A,$B$4)</f>
        <v>1</v>
      </c>
      <c r="E34" s="5" t="n">
        <f aca="false">SUMIFS('Daily Ledger'!$F:$F,'Daily Ledger'!$M:$M,$B34,'Daily Ledger'!$A:$A,$B$4)</f>
        <v>31.9</v>
      </c>
      <c r="F34" s="6" t="n">
        <f aca="false">SUMIFS('Daily Ledger'!$O:$O,'Daily Ledger'!$M:$M,$B34,'Daily Ledger'!$A:$A,$B$4)</f>
        <v>6858.5</v>
      </c>
    </row>
    <row r="35" customFormat="false" ht="15" hidden="false" customHeight="false" outlineLevel="0" collapsed="false">
      <c r="B35" s="7" t="s">
        <v>61</v>
      </c>
      <c r="C35" s="8"/>
      <c r="D35" s="7" t="n">
        <f aca="false">SUM(D7:D34)</f>
        <v>32</v>
      </c>
      <c r="E35" s="9" t="n">
        <f aca="false">SUM(E7:E34)</f>
        <v>956.18</v>
      </c>
      <c r="F35" s="10" t="n">
        <f aca="false">SUM(F7:F34)</f>
        <v>137756.05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15" hidden="false" customHeight="false" outlineLevel="0" collapsed="false">
      <c r="B1" s="11" t="s">
        <v>62</v>
      </c>
      <c r="E1" s="7" t="s">
        <v>11</v>
      </c>
      <c r="F1" s="7" t="s">
        <v>63</v>
      </c>
      <c r="G1" s="7" t="s">
        <v>64</v>
      </c>
      <c r="H1" s="7" t="s">
        <v>65</v>
      </c>
      <c r="I1" s="7" t="s">
        <v>11</v>
      </c>
    </row>
    <row r="2" customFormat="false" ht="15" hidden="false" customHeight="false" outlineLevel="0" collapsed="false">
      <c r="B2" s="0" t="s">
        <v>66</v>
      </c>
      <c r="C2" s="12" t="n">
        <v>20</v>
      </c>
      <c r="E2" s="4" t="s">
        <v>15</v>
      </c>
      <c r="F2" s="4" t="s">
        <v>67</v>
      </c>
      <c r="G2" s="6" t="n">
        <v>650</v>
      </c>
      <c r="H2" s="6" t="n">
        <v>0</v>
      </c>
      <c r="I2" s="6" t="n">
        <v>675</v>
      </c>
    </row>
    <row r="3" customFormat="false" ht="15" hidden="false" customHeight="false" outlineLevel="0" collapsed="false">
      <c r="E3" s="4" t="s">
        <v>15</v>
      </c>
      <c r="F3" s="4" t="s">
        <v>68</v>
      </c>
      <c r="G3" s="6" t="n">
        <v>610</v>
      </c>
      <c r="H3" s="6" t="n">
        <v>0</v>
      </c>
      <c r="I3" s="6" t="n">
        <v>675</v>
      </c>
    </row>
    <row r="4" customFormat="false" ht="15" hidden="false" customHeight="false" outlineLevel="0" collapsed="false">
      <c r="E4" s="4" t="s">
        <v>27</v>
      </c>
      <c r="F4" s="4" t="s">
        <v>67</v>
      </c>
      <c r="G4" s="6" t="n">
        <v>640</v>
      </c>
      <c r="H4" s="6" t="n">
        <v>0</v>
      </c>
      <c r="I4" s="6" t="n">
        <v>645</v>
      </c>
    </row>
    <row r="5" customFormat="false" ht="15" hidden="false" customHeight="false" outlineLevel="0" collapsed="false">
      <c r="E5" s="4" t="s">
        <v>27</v>
      </c>
      <c r="F5" s="4" t="s">
        <v>68</v>
      </c>
      <c r="G5" s="6" t="n">
        <v>610</v>
      </c>
      <c r="H5" s="6" t="n">
        <v>0</v>
      </c>
      <c r="I5" s="6" t="n">
        <v>645</v>
      </c>
    </row>
    <row r="6" customFormat="false" ht="15" hidden="false" customHeight="false" outlineLevel="0" collapsed="false">
      <c r="E6" s="4" t="s">
        <v>21</v>
      </c>
      <c r="F6" s="4" t="s">
        <v>67</v>
      </c>
      <c r="G6" s="6" t="n">
        <v>640</v>
      </c>
      <c r="H6" s="4"/>
      <c r="I6" s="6" t="n">
        <v>675</v>
      </c>
    </row>
    <row r="7" customFormat="false" ht="15" hidden="false" customHeight="false" outlineLevel="0" collapsed="false">
      <c r="E7" s="4" t="s">
        <v>21</v>
      </c>
      <c r="F7" s="4" t="s">
        <v>68</v>
      </c>
      <c r="G7" s="6" t="n">
        <v>610</v>
      </c>
      <c r="H7" s="6" t="n">
        <v>0</v>
      </c>
      <c r="I7" s="6" t="n">
        <v>675</v>
      </c>
    </row>
    <row r="8" customFormat="false" ht="15" hidden="false" customHeight="false" outlineLevel="0" collapsed="false">
      <c r="E8" s="4" t="s">
        <v>19</v>
      </c>
      <c r="F8" s="4" t="s">
        <v>67</v>
      </c>
      <c r="G8" s="6" t="n">
        <v>650</v>
      </c>
      <c r="H8" s="6" t="n">
        <v>210</v>
      </c>
      <c r="I8" s="6" t="n">
        <v>875</v>
      </c>
    </row>
    <row r="9" customFormat="false" ht="15" hidden="false" customHeight="false" outlineLevel="0" collapsed="false">
      <c r="E9" s="4" t="s">
        <v>19</v>
      </c>
      <c r="F9" s="4" t="s">
        <v>68</v>
      </c>
      <c r="G9" s="6" t="n">
        <v>610</v>
      </c>
      <c r="H9" s="6" t="n">
        <v>210</v>
      </c>
      <c r="I9" s="6" t="n">
        <v>875</v>
      </c>
    </row>
    <row r="10" customFormat="false" ht="15" hidden="false" customHeight="false" outlineLevel="0" collapsed="false">
      <c r="E10" s="4" t="s">
        <v>20</v>
      </c>
      <c r="F10" s="4" t="s">
        <v>67</v>
      </c>
      <c r="G10" s="6" t="n">
        <v>650</v>
      </c>
      <c r="H10" s="4"/>
      <c r="I10" s="6" t="n">
        <v>675</v>
      </c>
    </row>
    <row r="11" customFormat="false" ht="15" hidden="false" customHeight="false" outlineLevel="0" collapsed="false">
      <c r="E11" s="4" t="s">
        <v>20</v>
      </c>
      <c r="F11" s="4" t="s">
        <v>68</v>
      </c>
      <c r="G11" s="6" t="n">
        <v>610</v>
      </c>
      <c r="H11" s="4"/>
      <c r="I11" s="6" t="n">
        <v>675</v>
      </c>
    </row>
    <row r="12" customFormat="false" ht="15" hidden="false" customHeight="false" outlineLevel="0" collapsed="false">
      <c r="E12" s="4" t="s">
        <v>14</v>
      </c>
      <c r="F12" s="4"/>
      <c r="G12" s="6" t="n">
        <v>700</v>
      </c>
      <c r="H12" s="4"/>
      <c r="I12" s="6" t="n">
        <v>700</v>
      </c>
    </row>
    <row r="13" customFormat="false" ht="15" hidden="false" customHeight="false" outlineLevel="0" collapsed="false">
      <c r="E13" s="4" t="s">
        <v>16</v>
      </c>
      <c r="F13" s="4" t="s">
        <v>67</v>
      </c>
      <c r="G13" s="6" t="n">
        <v>650</v>
      </c>
      <c r="H13" s="6" t="n">
        <v>250</v>
      </c>
      <c r="I13" s="6" t="n">
        <v>900</v>
      </c>
    </row>
    <row r="14" customFormat="false" ht="15" hidden="false" customHeight="false" outlineLevel="0" collapsed="false">
      <c r="E14" s="4" t="s">
        <v>16</v>
      </c>
      <c r="F14" s="4" t="s">
        <v>68</v>
      </c>
      <c r="G14" s="6" t="n">
        <v>610</v>
      </c>
      <c r="H14" s="6" t="n">
        <v>250</v>
      </c>
      <c r="I14" s="6" t="n">
        <v>900</v>
      </c>
    </row>
    <row r="15" customFormat="false" ht="15" hidden="false" customHeight="false" outlineLevel="0" collapsed="false">
      <c r="E15" s="4" t="s">
        <v>17</v>
      </c>
      <c r="F15" s="4" t="s">
        <v>67</v>
      </c>
      <c r="G15" s="6" t="n">
        <v>640</v>
      </c>
      <c r="H15" s="6" t="n">
        <v>220</v>
      </c>
      <c r="I15" s="6" t="n">
        <v>900</v>
      </c>
    </row>
    <row r="16" customFormat="false" ht="15" hidden="false" customHeight="false" outlineLevel="0" collapsed="false">
      <c r="E16" s="4" t="s">
        <v>18</v>
      </c>
      <c r="F16" s="4" t="s">
        <v>67</v>
      </c>
      <c r="G16" s="6" t="n">
        <v>640</v>
      </c>
      <c r="H16" s="6" t="n">
        <v>215</v>
      </c>
      <c r="I16" s="6" t="n">
        <v>870</v>
      </c>
    </row>
    <row r="17" customFormat="false" ht="15" hidden="false" customHeight="false" outlineLevel="0" collapsed="false">
      <c r="E17" s="4" t="s">
        <v>18</v>
      </c>
      <c r="F17" s="4" t="s">
        <v>68</v>
      </c>
      <c r="G17" s="6" t="n">
        <v>610</v>
      </c>
      <c r="H17" s="6" t="n">
        <v>215</v>
      </c>
      <c r="I17" s="6" t="n">
        <v>870</v>
      </c>
    </row>
    <row r="18" customFormat="false" ht="15" hidden="false" customHeight="false" outlineLevel="0" collapsed="false">
      <c r="E18" s="4" t="s">
        <v>22</v>
      </c>
      <c r="F18" s="4" t="s">
        <v>67</v>
      </c>
      <c r="G18" s="6" t="n">
        <v>640</v>
      </c>
      <c r="H18" s="6" t="n">
        <v>210</v>
      </c>
      <c r="I18" s="6" t="n">
        <v>850</v>
      </c>
    </row>
    <row r="19" customFormat="false" ht="15" hidden="false" customHeight="false" outlineLevel="0" collapsed="false">
      <c r="B19" s="7" t="s">
        <v>28</v>
      </c>
      <c r="C19" s="7" t="s">
        <v>69</v>
      </c>
      <c r="E19" s="4" t="s">
        <v>22</v>
      </c>
      <c r="F19" s="4" t="s">
        <v>68</v>
      </c>
      <c r="G19" s="6" t="n">
        <v>610</v>
      </c>
      <c r="H19" s="6" t="n">
        <v>210</v>
      </c>
      <c r="I19" s="6" t="n">
        <v>850</v>
      </c>
    </row>
    <row r="20" customFormat="false" ht="15" hidden="false" customHeight="false" outlineLevel="0" collapsed="false">
      <c r="B20" s="4" t="s">
        <v>35</v>
      </c>
      <c r="C20" s="4" t="s">
        <v>70</v>
      </c>
      <c r="E20" s="4" t="s">
        <v>23</v>
      </c>
      <c r="F20" s="4" t="s">
        <v>67</v>
      </c>
      <c r="G20" s="6" t="n">
        <v>640</v>
      </c>
      <c r="H20" s="6" t="n">
        <v>0</v>
      </c>
      <c r="I20" s="6" t="n">
        <v>700</v>
      </c>
    </row>
    <row r="21" customFormat="false" ht="15" hidden="false" customHeight="false" outlineLevel="0" collapsed="false">
      <c r="B21" s="4" t="s">
        <v>33</v>
      </c>
      <c r="C21" s="4" t="s">
        <v>26</v>
      </c>
      <c r="E21" s="4" t="s">
        <v>23</v>
      </c>
      <c r="F21" s="4" t="s">
        <v>68</v>
      </c>
      <c r="G21" s="6" t="n">
        <v>610</v>
      </c>
      <c r="H21" s="6" t="n">
        <v>0</v>
      </c>
      <c r="I21" s="6" t="n">
        <v>650</v>
      </c>
    </row>
    <row r="22" customFormat="false" ht="15" hidden="false" customHeight="false" outlineLevel="0" collapsed="false">
      <c r="B22" s="4" t="s">
        <v>71</v>
      </c>
      <c r="C22" s="4" t="s">
        <v>72</v>
      </c>
      <c r="E22" s="4" t="s">
        <v>24</v>
      </c>
      <c r="F22" s="4" t="s">
        <v>67</v>
      </c>
      <c r="G22" s="6" t="n">
        <v>640</v>
      </c>
      <c r="H22" s="6" t="n">
        <v>0</v>
      </c>
      <c r="I22" s="6" t="n">
        <v>650</v>
      </c>
    </row>
    <row r="23" customFormat="false" ht="15" hidden="false" customHeight="false" outlineLevel="0" collapsed="false">
      <c r="B23" s="4" t="s">
        <v>73</v>
      </c>
      <c r="C23" s="4" t="s">
        <v>74</v>
      </c>
      <c r="E23" s="4" t="s">
        <v>24</v>
      </c>
      <c r="F23" s="4" t="s">
        <v>68</v>
      </c>
      <c r="G23" s="6" t="n">
        <v>610</v>
      </c>
      <c r="H23" s="6" t="n">
        <v>0</v>
      </c>
      <c r="I23" s="6" t="n">
        <v>650</v>
      </c>
    </row>
    <row r="24" customFormat="false" ht="15" hidden="false" customHeight="false" outlineLevel="0" collapsed="false">
      <c r="B24" s="4" t="s">
        <v>75</v>
      </c>
      <c r="C24" s="4" t="s">
        <v>76</v>
      </c>
      <c r="E24" s="4" t="s">
        <v>25</v>
      </c>
      <c r="F24" s="4" t="s">
        <v>67</v>
      </c>
      <c r="G24" s="6" t="n">
        <v>640</v>
      </c>
      <c r="H24" s="6" t="n">
        <v>220</v>
      </c>
      <c r="I24" s="6" t="n">
        <v>900</v>
      </c>
    </row>
    <row r="25" customFormat="false" ht="15" hidden="false" customHeight="false" outlineLevel="0" collapsed="false">
      <c r="B25" s="4" t="s">
        <v>77</v>
      </c>
      <c r="C25" s="4" t="s">
        <v>78</v>
      </c>
      <c r="E25" s="4" t="s">
        <v>25</v>
      </c>
      <c r="F25" s="4" t="s">
        <v>68</v>
      </c>
      <c r="G25" s="6" t="n">
        <v>610</v>
      </c>
      <c r="H25" s="6" t="n">
        <v>220</v>
      </c>
      <c r="I25" s="6" t="n">
        <v>900</v>
      </c>
    </row>
    <row r="26" customFormat="false" ht="15" hidden="false" customHeight="false" outlineLevel="0" collapsed="false">
      <c r="B26" s="4" t="s">
        <v>79</v>
      </c>
      <c r="C26" s="4" t="s">
        <v>80</v>
      </c>
    </row>
    <row r="27" customFormat="false" ht="15" hidden="false" customHeight="false" outlineLevel="0" collapsed="false">
      <c r="B27" s="4" t="s">
        <v>81</v>
      </c>
      <c r="C27" s="4" t="s">
        <v>80</v>
      </c>
      <c r="E27" s="3" t="s">
        <v>82</v>
      </c>
    </row>
    <row r="28" customFormat="false" ht="15" hidden="false" customHeight="false" outlineLevel="0" collapsed="false">
      <c r="B28" s="4" t="s">
        <v>83</v>
      </c>
      <c r="C28" s="4" t="s">
        <v>80</v>
      </c>
    </row>
    <row r="29" customFormat="false" ht="15" hidden="false" customHeight="false" outlineLevel="0" collapsed="false">
      <c r="B29" s="4" t="s">
        <v>84</v>
      </c>
      <c r="C29" s="4" t="s">
        <v>80</v>
      </c>
    </row>
    <row r="30" customFormat="false" ht="15" hidden="false" customHeight="false" outlineLevel="0" collapsed="false">
      <c r="B30" s="4" t="s">
        <v>85</v>
      </c>
      <c r="C30" s="4" t="s">
        <v>80</v>
      </c>
    </row>
    <row r="31" customFormat="false" ht="15" hidden="false" customHeight="false" outlineLevel="0" collapsed="false">
      <c r="B31" s="4" t="s">
        <v>86</v>
      </c>
      <c r="C31" s="4" t="s">
        <v>87</v>
      </c>
    </row>
    <row r="32" customFormat="false" ht="15" hidden="false" customHeight="false" outlineLevel="0" collapsed="false">
      <c r="B32" s="4" t="s">
        <v>88</v>
      </c>
      <c r="C32" s="4" t="s">
        <v>87</v>
      </c>
    </row>
    <row r="33" customFormat="false" ht="15" hidden="false" customHeight="false" outlineLevel="0" collapsed="false">
      <c r="B33" s="4" t="s">
        <v>89</v>
      </c>
      <c r="C33" s="4" t="s">
        <v>87</v>
      </c>
    </row>
    <row r="34" customFormat="false" ht="15" hidden="false" customHeight="false" outlineLevel="0" collapsed="false">
      <c r="B34" s="4" t="s">
        <v>90</v>
      </c>
      <c r="C34" s="4" t="s">
        <v>87</v>
      </c>
    </row>
    <row r="35" customFormat="false" ht="15" hidden="false" customHeight="false" outlineLevel="0" collapsed="false">
      <c r="B35" s="4" t="s">
        <v>91</v>
      </c>
      <c r="C35" s="4" t="s">
        <v>87</v>
      </c>
    </row>
    <row r="36" customFormat="false" ht="15" hidden="false" customHeight="false" outlineLevel="0" collapsed="false">
      <c r="B36" s="4" t="s">
        <v>92</v>
      </c>
      <c r="C36" s="4" t="s">
        <v>93</v>
      </c>
    </row>
    <row r="37" customFormat="false" ht="15" hidden="false" customHeight="false" outlineLevel="0" collapsed="false">
      <c r="B37" s="4" t="s">
        <v>34</v>
      </c>
      <c r="C37" s="4" t="s">
        <v>94</v>
      </c>
    </row>
    <row r="38" customFormat="false" ht="15" hidden="false" customHeight="false" outlineLevel="0" collapsed="false">
      <c r="B38" s="4" t="s">
        <v>95</v>
      </c>
      <c r="C38" s="4" t="s">
        <v>96</v>
      </c>
    </row>
    <row r="39" customFormat="false" ht="15" hidden="false" customHeight="false" outlineLevel="0" collapsed="false">
      <c r="B39" s="4" t="s">
        <v>97</v>
      </c>
      <c r="C39" s="4" t="s">
        <v>96</v>
      </c>
    </row>
    <row r="40" customFormat="false" ht="15" hidden="false" customHeight="false" outlineLevel="0" collapsed="false">
      <c r="B40" s="4" t="s">
        <v>98</v>
      </c>
      <c r="C40" s="4" t="s">
        <v>99</v>
      </c>
    </row>
    <row r="41" customFormat="false" ht="15" hidden="false" customHeight="false" outlineLevel="0" collapsed="false">
      <c r="B41" s="4" t="s">
        <v>100</v>
      </c>
      <c r="C41" s="4" t="s">
        <v>101</v>
      </c>
    </row>
    <row r="42" customFormat="false" ht="15" hidden="false" customHeight="false" outlineLevel="0" collapsed="false">
      <c r="B42" s="4" t="s">
        <v>102</v>
      </c>
      <c r="C42" s="4" t="s">
        <v>103</v>
      </c>
    </row>
    <row r="43" customFormat="false" ht="15" hidden="false" customHeight="false" outlineLevel="0" collapsed="false">
      <c r="B43" s="4" t="s">
        <v>104</v>
      </c>
      <c r="C43" s="4" t="s">
        <v>96</v>
      </c>
    </row>
    <row r="44" customFormat="false" ht="15" hidden="false" customHeight="false" outlineLevel="0" collapsed="false">
      <c r="B44" s="4" t="s">
        <v>86</v>
      </c>
      <c r="C44" s="4" t="s">
        <v>87</v>
      </c>
    </row>
    <row r="45" customFormat="false" ht="15" hidden="false" customHeight="false" outlineLevel="0" collapsed="false">
      <c r="B45" s="4" t="s">
        <v>88</v>
      </c>
      <c r="C45" s="4" t="s">
        <v>87</v>
      </c>
    </row>
    <row r="46" customFormat="false" ht="15" hidden="false" customHeight="false" outlineLevel="0" collapsed="false">
      <c r="B46" s="4" t="s">
        <v>89</v>
      </c>
      <c r="C46" s="4" t="s">
        <v>87</v>
      </c>
    </row>
    <row r="47" customFormat="false" ht="15" hidden="false" customHeight="false" outlineLevel="0" collapsed="false">
      <c r="B47" s="4" t="s">
        <v>90</v>
      </c>
      <c r="C47" s="4" t="s">
        <v>87</v>
      </c>
    </row>
    <row r="48" customFormat="false" ht="15" hidden="false" customHeight="false" outlineLevel="0" collapsed="false">
      <c r="B48" s="4" t="s">
        <v>91</v>
      </c>
      <c r="C48" s="4" t="s">
        <v>87</v>
      </c>
    </row>
    <row r="49" customFormat="false" ht="15" hidden="false" customHeight="false" outlineLevel="0" collapsed="false">
      <c r="B49" s="4" t="s">
        <v>34</v>
      </c>
      <c r="C49" s="4" t="s">
        <v>94</v>
      </c>
    </row>
    <row r="50" customFormat="false" ht="15" hidden="false" customHeight="false" outlineLevel="0" collapsed="false">
      <c r="B50" s="4" t="s">
        <v>95</v>
      </c>
      <c r="C50" s="4" t="s">
        <v>96</v>
      </c>
    </row>
    <row r="51" customFormat="false" ht="15" hidden="false" customHeight="false" outlineLevel="0" collapsed="false">
      <c r="B51" s="4" t="s">
        <v>97</v>
      </c>
      <c r="C51" s="4" t="s">
        <v>96</v>
      </c>
    </row>
    <row r="52" customFormat="false" ht="15" hidden="false" customHeight="false" outlineLevel="0" collapsed="false">
      <c r="B52" s="4" t="s">
        <v>98</v>
      </c>
      <c r="C52" s="4" t="s">
        <v>99</v>
      </c>
    </row>
    <row r="53" customFormat="false" ht="15" hidden="false" customHeight="false" outlineLevel="0" collapsed="false">
      <c r="B53" s="4" t="s">
        <v>105</v>
      </c>
      <c r="C53" s="4" t="s">
        <v>96</v>
      </c>
    </row>
    <row r="54" customFormat="false" ht="15" hidden="false" customHeight="false" outlineLevel="0" collapsed="false">
      <c r="B54" s="4" t="s">
        <v>106</v>
      </c>
      <c r="C54" s="4" t="s">
        <v>107</v>
      </c>
    </row>
    <row r="55" customFormat="false" ht="15" hidden="false" customHeight="false" outlineLevel="0" collapsed="false">
      <c r="B55" s="4" t="s">
        <v>108</v>
      </c>
      <c r="C55" s="4" t="s">
        <v>96</v>
      </c>
    </row>
    <row r="56" customFormat="false" ht="15" hidden="false" customHeight="false" outlineLevel="0" collapsed="false">
      <c r="B56" s="4" t="s">
        <v>109</v>
      </c>
      <c r="C56" s="4" t="s">
        <v>96</v>
      </c>
    </row>
    <row r="57" customFormat="false" ht="15" hidden="false" customHeight="false" outlineLevel="0" collapsed="false">
      <c r="B57" s="4" t="s">
        <v>100</v>
      </c>
      <c r="C57" s="4" t="s">
        <v>101</v>
      </c>
    </row>
    <row r="58" customFormat="false" ht="15" hidden="false" customHeight="false" outlineLevel="0" collapsed="false">
      <c r="B58" s="4" t="s">
        <v>110</v>
      </c>
      <c r="C58" s="4" t="s">
        <v>107</v>
      </c>
    </row>
    <row r="59" customFormat="false" ht="15" hidden="false" customHeight="false" outlineLevel="0" collapsed="false">
      <c r="B59" s="4" t="s">
        <v>111</v>
      </c>
      <c r="C59" s="4" t="s">
        <v>96</v>
      </c>
    </row>
    <row r="60" customFormat="false" ht="15" hidden="false" customHeight="false" outlineLevel="0" collapsed="false">
      <c r="B60" s="4" t="s">
        <v>112</v>
      </c>
      <c r="C60" s="4" t="s">
        <v>94</v>
      </c>
    </row>
    <row r="61" customFormat="false" ht="15" hidden="false" customHeight="false" outlineLevel="0" collapsed="false">
      <c r="B61" s="4" t="s">
        <v>113</v>
      </c>
      <c r="C61" s="4" t="s">
        <v>114</v>
      </c>
    </row>
    <row r="62" customFormat="false" ht="15" hidden="false" customHeight="false" outlineLevel="0" collapsed="false">
      <c r="B62" s="4" t="s">
        <v>115</v>
      </c>
      <c r="C62" s="4" t="s">
        <v>78</v>
      </c>
    </row>
    <row r="63" customFormat="false" ht="15" hidden="false" customHeight="false" outlineLevel="0" collapsed="false">
      <c r="B63" s="4" t="s">
        <v>47</v>
      </c>
      <c r="C63" s="4" t="s">
        <v>116</v>
      </c>
    </row>
    <row r="64" customFormat="false" ht="15" hidden="false" customHeight="false" outlineLevel="0" collapsed="false">
      <c r="B64" s="4" t="s">
        <v>117</v>
      </c>
      <c r="C64" s="4" t="s">
        <v>78</v>
      </c>
    </row>
    <row r="65" customFormat="false" ht="15" hidden="false" customHeight="false" outlineLevel="0" collapsed="false">
      <c r="B65" s="4" t="s">
        <v>118</v>
      </c>
      <c r="C65" s="4" t="s">
        <v>96</v>
      </c>
    </row>
    <row r="66" customFormat="false" ht="15" hidden="false" customHeight="false" outlineLevel="0" collapsed="false">
      <c r="B66" s="4" t="s">
        <v>119</v>
      </c>
      <c r="C66" s="4" t="s">
        <v>107</v>
      </c>
    </row>
    <row r="67" customFormat="false" ht="15" hidden="false" customHeight="false" outlineLevel="0" collapsed="false">
      <c r="B67" s="4" t="s">
        <v>120</v>
      </c>
      <c r="C67" s="4" t="s">
        <v>121</v>
      </c>
    </row>
    <row r="68" customFormat="false" ht="15" hidden="false" customHeight="false" outlineLevel="0" collapsed="false">
      <c r="B68" s="4" t="s">
        <v>122</v>
      </c>
      <c r="C68" s="4" t="s">
        <v>107</v>
      </c>
    </row>
    <row r="69" customFormat="false" ht="15" hidden="false" customHeight="false" outlineLevel="0" collapsed="false">
      <c r="B69" s="4" t="s">
        <v>123</v>
      </c>
      <c r="C69" s="4" t="s">
        <v>107</v>
      </c>
    </row>
    <row r="70" customFormat="false" ht="15" hidden="false" customHeight="false" outlineLevel="0" collapsed="false">
      <c r="B70" s="4" t="s">
        <v>124</v>
      </c>
      <c r="C70" s="4" t="s">
        <v>125</v>
      </c>
    </row>
    <row r="71" customFormat="false" ht="15" hidden="false" customHeight="false" outlineLevel="0" collapsed="false">
      <c r="B71" s="4" t="s">
        <v>126</v>
      </c>
      <c r="C71" s="4" t="s">
        <v>125</v>
      </c>
    </row>
    <row r="72" customFormat="false" ht="15" hidden="false" customHeight="false" outlineLevel="0" collapsed="false">
      <c r="B72" s="4" t="s">
        <v>127</v>
      </c>
      <c r="C72" s="4" t="s">
        <v>125</v>
      </c>
    </row>
    <row r="73" customFormat="false" ht="15" hidden="false" customHeight="false" outlineLevel="0" collapsed="false">
      <c r="B73" s="4" t="s">
        <v>128</v>
      </c>
      <c r="C73" s="4" t="s">
        <v>129</v>
      </c>
    </row>
    <row r="74" customFormat="false" ht="15" hidden="false" customHeight="false" outlineLevel="0" collapsed="false">
      <c r="B74" s="4" t="s">
        <v>130</v>
      </c>
      <c r="C74" s="4" t="s">
        <v>131</v>
      </c>
    </row>
    <row r="75" customFormat="false" ht="15" hidden="false" customHeight="false" outlineLevel="0" collapsed="false">
      <c r="B75" s="4" t="s">
        <v>132</v>
      </c>
      <c r="C75" s="4" t="s">
        <v>96</v>
      </c>
    </row>
    <row r="76" customFormat="false" ht="15" hidden="false" customHeight="false" outlineLevel="0" collapsed="false">
      <c r="B76" s="4" t="s">
        <v>106</v>
      </c>
      <c r="C76" s="4" t="s">
        <v>107</v>
      </c>
    </row>
    <row r="77" customFormat="false" ht="15" hidden="false" customHeight="false" outlineLevel="0" collapsed="false">
      <c r="B77" s="4" t="s">
        <v>133</v>
      </c>
      <c r="C77" s="4" t="s">
        <v>107</v>
      </c>
    </row>
    <row r="78" customFormat="false" ht="15" hidden="false" customHeight="false" outlineLevel="0" collapsed="false">
      <c r="B78" s="4" t="s">
        <v>134</v>
      </c>
      <c r="C78" s="4" t="s">
        <v>135</v>
      </c>
    </row>
    <row r="79" customFormat="false" ht="15" hidden="false" customHeight="false" outlineLevel="0" collapsed="false">
      <c r="B79" s="4" t="s">
        <v>136</v>
      </c>
      <c r="C79" s="4" t="s">
        <v>137</v>
      </c>
    </row>
    <row r="80" customFormat="false" ht="15" hidden="false" customHeight="false" outlineLevel="0" collapsed="false">
      <c r="B80" s="4" t="s">
        <v>138</v>
      </c>
      <c r="C80" s="4" t="s">
        <v>139</v>
      </c>
    </row>
    <row r="81" customFormat="false" ht="15" hidden="false" customHeight="false" outlineLevel="0" collapsed="false">
      <c r="B81" s="4" t="s">
        <v>140</v>
      </c>
      <c r="C81" s="4" t="s">
        <v>96</v>
      </c>
    </row>
    <row r="82" customFormat="false" ht="15" hidden="false" customHeight="false" outlineLevel="0" collapsed="false">
      <c r="B82" s="4" t="s">
        <v>141</v>
      </c>
      <c r="C82" s="4" t="s">
        <v>137</v>
      </c>
    </row>
    <row r="83" customFormat="false" ht="15" hidden="false" customHeight="false" outlineLevel="0" collapsed="false">
      <c r="B83" s="4" t="s">
        <v>142</v>
      </c>
      <c r="C83" s="4" t="s">
        <v>143</v>
      </c>
    </row>
    <row r="84" customFormat="false" ht="15" hidden="false" customHeight="false" outlineLevel="0" collapsed="false">
      <c r="B84" s="4" t="s">
        <v>144</v>
      </c>
      <c r="C84" s="4" t="s">
        <v>145</v>
      </c>
    </row>
    <row r="85" customFormat="false" ht="15" hidden="false" customHeight="false" outlineLevel="0" collapsed="false">
      <c r="B85" s="4" t="s">
        <v>146</v>
      </c>
      <c r="C85" s="4" t="s">
        <v>145</v>
      </c>
    </row>
    <row r="86" customFormat="false" ht="15" hidden="false" customHeight="false" outlineLevel="0" collapsed="false">
      <c r="B86" s="4" t="s">
        <v>147</v>
      </c>
      <c r="C86" s="4" t="s">
        <v>145</v>
      </c>
    </row>
    <row r="87" customFormat="false" ht="15" hidden="false" customHeight="false" outlineLevel="0" collapsed="false">
      <c r="B87" s="4" t="s">
        <v>148</v>
      </c>
      <c r="C87" s="4" t="s">
        <v>101</v>
      </c>
    </row>
    <row r="88" customFormat="false" ht="15" hidden="false" customHeight="false" outlineLevel="0" collapsed="false">
      <c r="B88" s="4" t="s">
        <v>149</v>
      </c>
      <c r="C88" s="4" t="s">
        <v>101</v>
      </c>
    </row>
    <row r="89" customFormat="false" ht="15" hidden="false" customHeight="false" outlineLevel="0" collapsed="false">
      <c r="B89" s="4" t="s">
        <v>150</v>
      </c>
      <c r="C89" s="4" t="s">
        <v>101</v>
      </c>
    </row>
    <row r="90" customFormat="false" ht="15" hidden="false" customHeight="false" outlineLevel="0" collapsed="false">
      <c r="B90" s="4" t="s">
        <v>38</v>
      </c>
      <c r="C90" s="4" t="s">
        <v>151</v>
      </c>
    </row>
    <row r="91" customFormat="false" ht="15" hidden="false" customHeight="false" outlineLevel="0" collapsed="false">
      <c r="B91" s="4" t="s">
        <v>152</v>
      </c>
      <c r="C91" s="4" t="s">
        <v>151</v>
      </c>
    </row>
    <row r="92" customFormat="false" ht="15" hidden="false" customHeight="false" outlineLevel="0" collapsed="false">
      <c r="B92" s="4" t="s">
        <v>153</v>
      </c>
      <c r="C92" s="4" t="s">
        <v>107</v>
      </c>
    </row>
    <row r="93" customFormat="false" ht="15" hidden="false" customHeight="false" outlineLevel="0" collapsed="false">
      <c r="B93" s="4" t="s">
        <v>154</v>
      </c>
      <c r="C93" s="4" t="s">
        <v>76</v>
      </c>
    </row>
    <row r="94" customFormat="false" ht="15" hidden="false" customHeight="false" outlineLevel="0" collapsed="false">
      <c r="B94" s="4" t="s">
        <v>155</v>
      </c>
      <c r="C94" s="4" t="s">
        <v>94</v>
      </c>
    </row>
    <row r="95" customFormat="false" ht="15" hidden="false" customHeight="false" outlineLevel="0" collapsed="false">
      <c r="B95" s="4" t="s">
        <v>156</v>
      </c>
      <c r="C95" s="4" t="s">
        <v>157</v>
      </c>
    </row>
    <row r="96" customFormat="false" ht="15" hidden="false" customHeight="false" outlineLevel="0" collapsed="false">
      <c r="B96" s="4" t="s">
        <v>36</v>
      </c>
      <c r="C96" s="4" t="s">
        <v>158</v>
      </c>
    </row>
    <row r="97" customFormat="false" ht="15" hidden="false" customHeight="false" outlineLevel="0" collapsed="false">
      <c r="B97" s="4" t="s">
        <v>159</v>
      </c>
      <c r="C97" s="4" t="s">
        <v>107</v>
      </c>
    </row>
    <row r="98" customFormat="false" ht="15" hidden="false" customHeight="false" outlineLevel="0" collapsed="false">
      <c r="B98" s="4" t="s">
        <v>46</v>
      </c>
      <c r="C98" s="4" t="s">
        <v>158</v>
      </c>
    </row>
    <row r="99" customFormat="false" ht="15" hidden="false" customHeight="false" outlineLevel="0" collapsed="false">
      <c r="B99" s="4" t="s">
        <v>160</v>
      </c>
      <c r="C99" s="4" t="s">
        <v>161</v>
      </c>
    </row>
    <row r="100" customFormat="false" ht="15" hidden="false" customHeight="false" outlineLevel="0" collapsed="false">
      <c r="B100" s="4" t="s">
        <v>162</v>
      </c>
      <c r="C100" s="4" t="s">
        <v>163</v>
      </c>
    </row>
    <row r="101" customFormat="false" ht="15" hidden="false" customHeight="false" outlineLevel="0" collapsed="false">
      <c r="B101" s="4" t="s">
        <v>164</v>
      </c>
      <c r="C101" s="4" t="s">
        <v>165</v>
      </c>
    </row>
    <row r="102" customFormat="false" ht="15" hidden="false" customHeight="false" outlineLevel="0" collapsed="false">
      <c r="B102" s="4" t="s">
        <v>166</v>
      </c>
      <c r="C102" s="4" t="s">
        <v>165</v>
      </c>
    </row>
    <row r="103" customFormat="false" ht="15" hidden="false" customHeight="false" outlineLevel="0" collapsed="false">
      <c r="B103" s="4" t="s">
        <v>167</v>
      </c>
      <c r="C103" s="4" t="s">
        <v>157</v>
      </c>
    </row>
    <row r="104" customFormat="false" ht="15" hidden="false" customHeight="false" outlineLevel="0" collapsed="false">
      <c r="B104" s="4" t="s">
        <v>168</v>
      </c>
      <c r="C104" s="4" t="s">
        <v>157</v>
      </c>
    </row>
    <row r="105" customFormat="false" ht="15" hidden="false" customHeight="false" outlineLevel="0" collapsed="false">
      <c r="B105" s="4" t="s">
        <v>169</v>
      </c>
      <c r="C105" s="4" t="s">
        <v>170</v>
      </c>
    </row>
    <row r="106" customFormat="false" ht="15" hidden="false" customHeight="false" outlineLevel="0" collapsed="false">
      <c r="B106" s="4" t="s">
        <v>171</v>
      </c>
      <c r="C106" s="4" t="s">
        <v>170</v>
      </c>
    </row>
    <row r="107" customFormat="false" ht="15" hidden="false" customHeight="false" outlineLevel="0" collapsed="false">
      <c r="B107" s="4" t="s">
        <v>172</v>
      </c>
      <c r="C107" s="4" t="s">
        <v>173</v>
      </c>
    </row>
    <row r="108" customFormat="false" ht="15" hidden="false" customHeight="false" outlineLevel="0" collapsed="false">
      <c r="B108" s="4" t="s">
        <v>174</v>
      </c>
      <c r="C108" s="4" t="s">
        <v>170</v>
      </c>
    </row>
    <row r="109" customFormat="false" ht="15" hidden="false" customHeight="false" outlineLevel="0" collapsed="false">
      <c r="B109" s="4" t="s">
        <v>59</v>
      </c>
      <c r="C109" s="4" t="s">
        <v>170</v>
      </c>
    </row>
    <row r="110" customFormat="false" ht="15" hidden="false" customHeight="false" outlineLevel="0" collapsed="false">
      <c r="B110" s="4" t="s">
        <v>51</v>
      </c>
      <c r="C110" s="4" t="s">
        <v>175</v>
      </c>
    </row>
    <row r="111" customFormat="false" ht="15" hidden="false" customHeight="false" outlineLevel="0" collapsed="false">
      <c r="B111" s="4" t="s">
        <v>49</v>
      </c>
      <c r="C111" s="4" t="s">
        <v>175</v>
      </c>
    </row>
    <row r="112" customFormat="false" ht="15" hidden="false" customHeight="false" outlineLevel="0" collapsed="false">
      <c r="B112" s="4" t="s">
        <v>176</v>
      </c>
      <c r="C112" s="4" t="s">
        <v>177</v>
      </c>
    </row>
    <row r="113" customFormat="false" ht="15" hidden="false" customHeight="false" outlineLevel="0" collapsed="false">
      <c r="B113" s="4" t="s">
        <v>124</v>
      </c>
      <c r="C113" s="4" t="s">
        <v>125</v>
      </c>
    </row>
    <row r="114" customFormat="false" ht="15" hidden="false" customHeight="false" outlineLevel="0" collapsed="false">
      <c r="B114" s="4" t="s">
        <v>178</v>
      </c>
      <c r="C114" s="4" t="s">
        <v>179</v>
      </c>
    </row>
    <row r="115" customFormat="false" ht="15" hidden="false" customHeight="false" outlineLevel="0" collapsed="false">
      <c r="B115" s="4" t="s">
        <v>180</v>
      </c>
      <c r="C115" s="4" t="s">
        <v>181</v>
      </c>
    </row>
    <row r="116" customFormat="false" ht="15" hidden="false" customHeight="false" outlineLevel="0" collapsed="false">
      <c r="B116" s="4" t="s">
        <v>182</v>
      </c>
      <c r="C116" s="4" t="s">
        <v>177</v>
      </c>
    </row>
    <row r="117" customFormat="false" ht="15" hidden="false" customHeight="false" outlineLevel="0" collapsed="false">
      <c r="B117" s="4" t="s">
        <v>183</v>
      </c>
      <c r="C117" s="4" t="s">
        <v>107</v>
      </c>
    </row>
    <row r="118" customFormat="false" ht="15" hidden="false" customHeight="false" outlineLevel="0" collapsed="false">
      <c r="B118" s="4" t="s">
        <v>184</v>
      </c>
      <c r="C118" s="4" t="s">
        <v>125</v>
      </c>
    </row>
    <row r="119" customFormat="false" ht="15" hidden="false" customHeight="false" outlineLevel="0" collapsed="false">
      <c r="B119" s="4" t="s">
        <v>185</v>
      </c>
      <c r="C119" s="4" t="s">
        <v>186</v>
      </c>
    </row>
    <row r="120" customFormat="false" ht="15" hidden="false" customHeight="false" outlineLevel="0" collapsed="false">
      <c r="B120" s="4" t="s">
        <v>187</v>
      </c>
      <c r="C120" s="4" t="s">
        <v>151</v>
      </c>
    </row>
    <row r="121" customFormat="false" ht="15" hidden="false" customHeight="false" outlineLevel="0" collapsed="false">
      <c r="B121" s="4" t="s">
        <v>105</v>
      </c>
      <c r="C121" s="4" t="s">
        <v>186</v>
      </c>
    </row>
    <row r="122" customFormat="false" ht="15" hidden="false" customHeight="false" outlineLevel="0" collapsed="false">
      <c r="B122" s="4" t="s">
        <v>111</v>
      </c>
      <c r="C122" s="4" t="s">
        <v>186</v>
      </c>
    </row>
    <row r="123" customFormat="false" ht="15" hidden="false" customHeight="false" outlineLevel="0" collapsed="false">
      <c r="B123" s="4" t="s">
        <v>188</v>
      </c>
      <c r="C123" s="4" t="s">
        <v>189</v>
      </c>
    </row>
    <row r="124" customFormat="false" ht="15" hidden="false" customHeight="false" outlineLevel="0" collapsed="false">
      <c r="B124" s="4" t="s">
        <v>40</v>
      </c>
      <c r="C124" s="4" t="s">
        <v>190</v>
      </c>
    </row>
    <row r="125" customFormat="false" ht="15" hidden="false" customHeight="false" outlineLevel="0" collapsed="false">
      <c r="B125" s="4" t="s">
        <v>162</v>
      </c>
      <c r="C125" s="4" t="s">
        <v>191</v>
      </c>
    </row>
    <row r="126" customFormat="false" ht="15" hidden="false" customHeight="false" outlineLevel="0" collapsed="false">
      <c r="B126" s="4" t="s">
        <v>33</v>
      </c>
      <c r="C126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true" outlineLevel="0" max="5" min="5" style="0" width="6"/>
    <col collapsed="false" customWidth="true" hidden="false" outlineLevel="0" max="6" min="6" style="0" width="11"/>
    <col collapsed="false" customWidth="true" hidden="false" outlineLevel="0" max="10" min="7" style="0" width="9"/>
    <col collapsed="false" customWidth="true" hidden="false" outlineLevel="0" max="12" min="11" style="0" width="12"/>
    <col collapsed="false" customWidth="true" hidden="false" outlineLevel="0" max="13" min="13" style="0" width="15"/>
    <col collapsed="false" customWidth="true" hidden="false" outlineLevel="0" max="15" min="14" style="0" width="11"/>
    <col collapsed="false" customWidth="true" hidden="false" outlineLevel="0" max="16" min="16" style="0" width="14"/>
    <col collapsed="false" customWidth="true" hidden="false" outlineLevel="0" max="42" min="17" style="0" width="13"/>
    <col collapsed="false" customWidth="true" hidden="false" outlineLevel="0" max="48" min="43" style="0" width="12"/>
  </cols>
  <sheetData>
    <row r="1" customFormat="false" ht="23.85" hidden="false" customHeight="tru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 t="s">
        <v>14</v>
      </c>
      <c r="Q1" s="14" t="s">
        <v>15</v>
      </c>
      <c r="R1" s="14"/>
      <c r="S1" s="14" t="s">
        <v>16</v>
      </c>
      <c r="T1" s="14"/>
      <c r="U1" s="14" t="s">
        <v>17</v>
      </c>
      <c r="V1" s="14"/>
      <c r="W1" s="14" t="s">
        <v>18</v>
      </c>
      <c r="X1" s="14"/>
      <c r="Y1" s="14" t="s">
        <v>19</v>
      </c>
      <c r="Z1" s="14"/>
      <c r="AA1" s="14" t="s">
        <v>20</v>
      </c>
      <c r="AB1" s="14"/>
      <c r="AC1" s="14" t="s">
        <v>21</v>
      </c>
      <c r="AD1" s="14"/>
      <c r="AE1" s="14" t="s">
        <v>22</v>
      </c>
      <c r="AF1" s="14"/>
      <c r="AG1" s="14" t="s">
        <v>23</v>
      </c>
      <c r="AH1" s="14"/>
      <c r="AI1" s="14" t="s">
        <v>24</v>
      </c>
      <c r="AJ1" s="14"/>
      <c r="AK1" s="14" t="s">
        <v>25</v>
      </c>
      <c r="AL1" s="14"/>
      <c r="AM1" s="14" t="s">
        <v>26</v>
      </c>
      <c r="AN1" s="14"/>
      <c r="AO1" s="14" t="s">
        <v>27</v>
      </c>
      <c r="AP1" s="14"/>
      <c r="AQ1" s="14" t="s">
        <v>67</v>
      </c>
      <c r="AR1" s="14"/>
      <c r="AS1" s="14" t="s">
        <v>68</v>
      </c>
      <c r="AT1" s="14"/>
      <c r="AU1" s="14"/>
      <c r="AV1" s="14"/>
    </row>
    <row r="2" customFormat="false" ht="45" hidden="false" customHeight="true" outlineLevel="0" collapsed="false">
      <c r="A2" s="15" t="s">
        <v>192</v>
      </c>
      <c r="B2" s="15" t="s">
        <v>193</v>
      </c>
      <c r="C2" s="15" t="s">
        <v>11</v>
      </c>
      <c r="D2" s="15" t="s">
        <v>194</v>
      </c>
      <c r="E2" s="15" t="s">
        <v>195</v>
      </c>
      <c r="F2" s="15" t="s">
        <v>1</v>
      </c>
      <c r="G2" s="15" t="s">
        <v>196</v>
      </c>
      <c r="H2" s="15" t="s">
        <v>197</v>
      </c>
      <c r="I2" s="15" t="s">
        <v>198</v>
      </c>
      <c r="J2" s="15" t="s">
        <v>199</v>
      </c>
      <c r="K2" s="15" t="s">
        <v>200</v>
      </c>
      <c r="L2" s="15" t="s">
        <v>201</v>
      </c>
      <c r="M2" s="15" t="s">
        <v>202</v>
      </c>
      <c r="N2" s="15" t="s">
        <v>203</v>
      </c>
      <c r="O2" s="15" t="s">
        <v>65</v>
      </c>
      <c r="P2" s="14" t="s">
        <v>204</v>
      </c>
      <c r="Q2" s="14" t="s">
        <v>205</v>
      </c>
      <c r="R2" s="14" t="s">
        <v>206</v>
      </c>
      <c r="S2" s="14" t="s">
        <v>207</v>
      </c>
      <c r="T2" s="14" t="s">
        <v>208</v>
      </c>
      <c r="U2" s="14" t="s">
        <v>209</v>
      </c>
      <c r="V2" s="14" t="s">
        <v>210</v>
      </c>
      <c r="W2" s="14" t="s">
        <v>211</v>
      </c>
      <c r="X2" s="14" t="s">
        <v>212</v>
      </c>
      <c r="Y2" s="14" t="s">
        <v>213</v>
      </c>
      <c r="Z2" s="14" t="s">
        <v>214</v>
      </c>
      <c r="AA2" s="14" t="s">
        <v>215</v>
      </c>
      <c r="AB2" s="14" t="s">
        <v>216</v>
      </c>
      <c r="AC2" s="14" t="s">
        <v>217</v>
      </c>
      <c r="AD2" s="14" t="s">
        <v>218</v>
      </c>
      <c r="AE2" s="14" t="s">
        <v>219</v>
      </c>
      <c r="AF2" s="14" t="s">
        <v>220</v>
      </c>
      <c r="AG2" s="14" t="s">
        <v>221</v>
      </c>
      <c r="AH2" s="14" t="s">
        <v>222</v>
      </c>
      <c r="AI2" s="14" t="s">
        <v>223</v>
      </c>
      <c r="AJ2" s="14" t="s">
        <v>224</v>
      </c>
      <c r="AK2" s="14" t="s">
        <v>225</v>
      </c>
      <c r="AL2" s="14" t="s">
        <v>226</v>
      </c>
      <c r="AM2" s="14" t="s">
        <v>227</v>
      </c>
      <c r="AN2" s="14" t="s">
        <v>228</v>
      </c>
      <c r="AO2" s="14" t="s">
        <v>229</v>
      </c>
      <c r="AP2" s="14" t="s">
        <v>230</v>
      </c>
      <c r="AQ2" s="14" t="s">
        <v>5</v>
      </c>
      <c r="AR2" s="14" t="s">
        <v>6</v>
      </c>
      <c r="AS2" s="14" t="s">
        <v>7</v>
      </c>
      <c r="AT2" s="14" t="s">
        <v>8</v>
      </c>
      <c r="AU2" s="14" t="s">
        <v>9</v>
      </c>
      <c r="AV2" s="14" t="s">
        <v>231</v>
      </c>
    </row>
    <row r="3" customFormat="false" ht="15" hidden="false" customHeight="false" outlineLevel="0" collapsed="false">
      <c r="A3" s="16" t="n">
        <v>45975</v>
      </c>
      <c r="B3" s="4" t="s">
        <v>232</v>
      </c>
      <c r="C3" s="4" t="s">
        <v>27</v>
      </c>
      <c r="D3" s="4" t="s">
        <v>67</v>
      </c>
      <c r="E3" s="4" t="n">
        <v>1</v>
      </c>
      <c r="F3" s="5" t="n">
        <v>33.375</v>
      </c>
      <c r="G3" s="6" t="n">
        <v>640</v>
      </c>
      <c r="H3" s="6" t="n">
        <v>645</v>
      </c>
      <c r="I3" s="6" t="n">
        <v>0</v>
      </c>
      <c r="J3" s="6" t="n">
        <v>20</v>
      </c>
      <c r="K3" s="6" t="n">
        <f aca="false">IF($F3="","",$F3*$H3)</f>
        <v>21526.875</v>
      </c>
      <c r="L3" s="6" t="n">
        <f aca="false">IFERROR(ROUND($F3*$G3,-1),"")</f>
        <v>21360</v>
      </c>
      <c r="M3" s="4"/>
      <c r="N3" s="5" t="n">
        <f aca="false">IF($F3="","",IF(N($I3)&gt;0,$F3,0))</f>
        <v>0</v>
      </c>
      <c r="O3" s="6" t="n">
        <f aca="false">IF($F3="","",N($N3)*N($I3))</f>
        <v>0</v>
      </c>
      <c r="P3" s="6" t="str">
        <f aca="false">IF(OR($C3=P$1,$C3="Titan Rocks"),$K3,"")</f>
        <v/>
      </c>
      <c r="Q3" s="6" t="str">
        <f aca="false">IF($C3=Q$1,$K3,"")</f>
        <v/>
      </c>
      <c r="R3" s="5" t="str">
        <f aca="false">IF($C3=Q$1,$F3,"")</f>
        <v/>
      </c>
      <c r="S3" s="6" t="str">
        <f aca="false">IF($C3=S$1,$K3,"")</f>
        <v/>
      </c>
      <c r="T3" s="5" t="str">
        <f aca="false">IF($C3=S$1,$F3,"")</f>
        <v/>
      </c>
      <c r="U3" s="6" t="str">
        <f aca="false">IF($C3=U$1,$K3,"")</f>
        <v/>
      </c>
      <c r="V3" s="5" t="str">
        <f aca="false">IF($C3=U$1,$F3,"")</f>
        <v/>
      </c>
      <c r="W3" s="6" t="str">
        <f aca="false">IF($C3=W$1,$K3,"")</f>
        <v/>
      </c>
      <c r="X3" s="5" t="str">
        <f aca="false">IF($C3=W$1,$F3,"")</f>
        <v/>
      </c>
      <c r="Y3" s="6" t="str">
        <f aca="false">IF($C3=Y$1,$K3,"")</f>
        <v/>
      </c>
      <c r="Z3" s="5" t="str">
        <f aca="false">IF($C3=Y$1,$F3,"")</f>
        <v/>
      </c>
      <c r="AA3" s="6" t="str">
        <f aca="false">IF($C3=AA$1,$K3,"")</f>
        <v/>
      </c>
      <c r="AB3" s="5" t="str">
        <f aca="false">IF($C3=AA$1,$F3,"")</f>
        <v/>
      </c>
      <c r="AC3" s="6" t="str">
        <f aca="false">IF($C3=AC$1,$K3,"")</f>
        <v/>
      </c>
      <c r="AD3" s="5" t="str">
        <f aca="false">IF($C3=AC$1,$F3,"")</f>
        <v/>
      </c>
      <c r="AE3" s="6" t="str">
        <f aca="false">IF($C3=AE$1,$K3,"")</f>
        <v/>
      </c>
      <c r="AF3" s="5" t="str">
        <f aca="false">IF($C3=AE$1,$F3,"")</f>
        <v/>
      </c>
      <c r="AG3" s="6" t="str">
        <f aca="false">IF($C3=AG$1,$K3,"")</f>
        <v/>
      </c>
      <c r="AH3" s="5" t="str">
        <f aca="false">IF($C3=AG$1,$F3,"")</f>
        <v/>
      </c>
      <c r="AI3" s="6" t="str">
        <f aca="false">IF($C3=AI$1,$K3,"")</f>
        <v/>
      </c>
      <c r="AJ3" s="5" t="str">
        <f aca="false">IF($C3=AI$1,$F3,"")</f>
        <v/>
      </c>
      <c r="AK3" s="6" t="str">
        <f aca="false">IF($C3=AK$1,$K3,"")</f>
        <v/>
      </c>
      <c r="AL3" s="5" t="str">
        <f aca="false">IF($C3=AK$1,$F3,"")</f>
        <v/>
      </c>
      <c r="AM3" s="6" t="str">
        <f aca="false">IF($C3=AM$1,$K3,"")</f>
        <v/>
      </c>
      <c r="AN3" s="5" t="str">
        <f aca="false">IF($C3=AM$1,$F3,"")</f>
        <v/>
      </c>
      <c r="AO3" s="6" t="n">
        <f aca="false">IF($C3=AO$1,$K3,"")</f>
        <v>21526.875</v>
      </c>
      <c r="AP3" s="5" t="n">
        <f aca="false">IF($C3=AO$1,$F3,"")</f>
        <v>33.375</v>
      </c>
      <c r="AQ3" s="5" t="n">
        <f aca="false">IF($F3="",0,IF($D3=AQ$1,$F3,0))</f>
        <v>33.375</v>
      </c>
      <c r="AR3" s="6" t="n">
        <f aca="false">IF($D3=AQ$1,N($K3)-N($L3)-N($O3),0)</f>
        <v>166.875</v>
      </c>
      <c r="AS3" s="5" t="n">
        <f aca="false">IF($F3="",0,IF($D3=AS$1,$F3,0))</f>
        <v>0</v>
      </c>
      <c r="AT3" s="6" t="n">
        <f aca="false">IF($D3=AS$1,N($K3)-N($L3)-N($O3),0)</f>
        <v>0</v>
      </c>
      <c r="AU3" s="5" t="n">
        <f aca="false">IF(N($J3)&gt;0,N($F3),0)</f>
        <v>33.375</v>
      </c>
      <c r="AV3" s="6" t="n">
        <f aca="false">IF(N($J3)&gt;0,$F3*$J3,0)</f>
        <v>667.5</v>
      </c>
    </row>
    <row r="4" customFormat="false" ht="15" hidden="false" customHeight="false" outlineLevel="0" collapsed="false">
      <c r="A4" s="16" t="n">
        <v>45975</v>
      </c>
      <c r="B4" s="4" t="s">
        <v>232</v>
      </c>
      <c r="C4" s="4" t="s">
        <v>27</v>
      </c>
      <c r="D4" s="4" t="s">
        <v>68</v>
      </c>
      <c r="E4" s="4" t="n">
        <f aca="false">E3+1</f>
        <v>2</v>
      </c>
      <c r="F4" s="5" t="n">
        <v>29.02</v>
      </c>
      <c r="G4" s="6" t="n">
        <v>610</v>
      </c>
      <c r="H4" s="6" t="n">
        <v>645</v>
      </c>
      <c r="I4" s="6" t="n">
        <v>0</v>
      </c>
      <c r="J4" s="6" t="n">
        <v>20</v>
      </c>
      <c r="K4" s="6" t="n">
        <f aca="false">IF($F4="","",$F4*$H4)</f>
        <v>18717.9</v>
      </c>
      <c r="L4" s="6" t="n">
        <f aca="false">IFERROR(ROUND($F4*$G4,-1),"")</f>
        <v>17700</v>
      </c>
      <c r="M4" s="4"/>
      <c r="N4" s="5" t="n">
        <f aca="false">IF($F4="","",IF(N($I4)&gt;0,$F4,0))</f>
        <v>0</v>
      </c>
      <c r="O4" s="6" t="n">
        <f aca="false">IF($F4="","",N($N4)*N($I4))</f>
        <v>0</v>
      </c>
      <c r="P4" s="6" t="str">
        <f aca="false">IF(OR($C4=P$1,$C4="Titan Rocks"),$K4,"")</f>
        <v/>
      </c>
      <c r="Q4" s="6" t="str">
        <f aca="false">IF($C4=Q$1,$K4,"")</f>
        <v/>
      </c>
      <c r="R4" s="5" t="str">
        <f aca="false">IF($C4=Q$1,$F4,"")</f>
        <v/>
      </c>
      <c r="S4" s="6" t="str">
        <f aca="false">IF($C4=S$1,$K4,"")</f>
        <v/>
      </c>
      <c r="T4" s="5" t="str">
        <f aca="false">IF($C4=S$1,$F4,"")</f>
        <v/>
      </c>
      <c r="U4" s="6" t="str">
        <f aca="false">IF($C4=U$1,$K4,"")</f>
        <v/>
      </c>
      <c r="V4" s="5" t="str">
        <f aca="false">IF($C4=U$1,$F4,"")</f>
        <v/>
      </c>
      <c r="W4" s="6" t="str">
        <f aca="false">IF($C4=W$1,$K4,"")</f>
        <v/>
      </c>
      <c r="X4" s="5" t="str">
        <f aca="false">IF($C4=W$1,$F4,"")</f>
        <v/>
      </c>
      <c r="Y4" s="6" t="str">
        <f aca="false">IF($C4=Y$1,$K4,"")</f>
        <v/>
      </c>
      <c r="Z4" s="5" t="str">
        <f aca="false">IF($C4=Y$1,$F4,"")</f>
        <v/>
      </c>
      <c r="AA4" s="6" t="str">
        <f aca="false">IF($C4=AA$1,$K4,"")</f>
        <v/>
      </c>
      <c r="AB4" s="5" t="str">
        <f aca="false">IF($C4=AA$1,$F4,"")</f>
        <v/>
      </c>
      <c r="AC4" s="6" t="str">
        <f aca="false">IF($C4=AC$1,$K4,"")</f>
        <v/>
      </c>
      <c r="AD4" s="5" t="str">
        <f aca="false">IF($C4=AC$1,$F4,"")</f>
        <v/>
      </c>
      <c r="AE4" s="6" t="str">
        <f aca="false">IF($C4=AE$1,$K4,"")</f>
        <v/>
      </c>
      <c r="AF4" s="5" t="str">
        <f aca="false">IF($C4=AE$1,$F4,"")</f>
        <v/>
      </c>
      <c r="AG4" s="6" t="str">
        <f aca="false">IF($C4=AG$1,$K4,"")</f>
        <v/>
      </c>
      <c r="AH4" s="5" t="str">
        <f aca="false">IF($C4=AG$1,$F4,"")</f>
        <v/>
      </c>
      <c r="AI4" s="6" t="str">
        <f aca="false">IF($C4=AI$1,$K4,"")</f>
        <v/>
      </c>
      <c r="AJ4" s="5" t="str">
        <f aca="false">IF($C4=AI$1,$F4,"")</f>
        <v/>
      </c>
      <c r="AK4" s="6" t="str">
        <f aca="false">IF($C4=AK$1,$K4,"")</f>
        <v/>
      </c>
      <c r="AL4" s="5" t="str">
        <f aca="false">IF($C4=AK$1,$F4,"")</f>
        <v/>
      </c>
      <c r="AM4" s="6" t="str">
        <f aca="false">IF($C4=AM$1,$K4,"")</f>
        <v/>
      </c>
      <c r="AN4" s="5" t="str">
        <f aca="false">IF($C4=AM$1,$F4,"")</f>
        <v/>
      </c>
      <c r="AO4" s="6" t="n">
        <f aca="false">IF($C4=AO$1,$K4,"")</f>
        <v>18717.9</v>
      </c>
      <c r="AP4" s="5" t="n">
        <f aca="false">IF($C4=AO$1,$F4,"")</f>
        <v>29.02</v>
      </c>
      <c r="AQ4" s="5" t="n">
        <f aca="false">IF($F4="",0,IF($D4=AQ$1,$F4,0))</f>
        <v>0</v>
      </c>
      <c r="AR4" s="6" t="n">
        <f aca="false">IF($D4=AQ$1,N($K4)-N($L4)-N($O4),0)</f>
        <v>0</v>
      </c>
      <c r="AS4" s="5" t="n">
        <f aca="false">IF($F4="",0,IF($D4=AS$1,$F4,0))</f>
        <v>29.02</v>
      </c>
      <c r="AT4" s="6" t="n">
        <f aca="false">IF($D4=AS$1,N($K4)-N($L4)-N($O4),0)</f>
        <v>1017.9</v>
      </c>
      <c r="AU4" s="5" t="n">
        <f aca="false">IF(N($J4)&gt;0,N($F4),0)</f>
        <v>29.02</v>
      </c>
      <c r="AV4" s="6" t="n">
        <f aca="false">IF(N($J4)&gt;0,$F4*$J4,0)</f>
        <v>580.4</v>
      </c>
    </row>
    <row r="5" customFormat="false" ht="15" hidden="false" customHeight="false" outlineLevel="0" collapsed="false">
      <c r="A5" s="16" t="n">
        <v>45975</v>
      </c>
      <c r="B5" s="4" t="s">
        <v>232</v>
      </c>
      <c r="C5" s="4" t="s">
        <v>27</v>
      </c>
      <c r="D5" s="4" t="s">
        <v>68</v>
      </c>
      <c r="E5" s="4" t="n">
        <f aca="false">E4+1</f>
        <v>3</v>
      </c>
      <c r="F5" s="5" t="n">
        <v>30.62</v>
      </c>
      <c r="G5" s="6" t="n">
        <v>610</v>
      </c>
      <c r="H5" s="6" t="n">
        <v>645</v>
      </c>
      <c r="I5" s="6" t="n">
        <v>0</v>
      </c>
      <c r="J5" s="6" t="n">
        <v>20</v>
      </c>
      <c r="K5" s="6" t="n">
        <f aca="false">IF($F5="","",$F5*$H5)</f>
        <v>19749.9</v>
      </c>
      <c r="L5" s="6" t="n">
        <f aca="false">IFERROR(ROUND($F5*$G5,-1),"")</f>
        <v>18680</v>
      </c>
      <c r="M5" s="4"/>
      <c r="N5" s="5" t="n">
        <f aca="false">IF($F5="","",IF(N($I5)&gt;0,$F5,0))</f>
        <v>0</v>
      </c>
      <c r="O5" s="6" t="n">
        <f aca="false">IF($F5="","",N($N5)*N($I5))</f>
        <v>0</v>
      </c>
      <c r="P5" s="6" t="str">
        <f aca="false">IF(OR($C5=P$1,$C5="Titan Rocks"),$K5,"")</f>
        <v/>
      </c>
      <c r="Q5" s="6" t="str">
        <f aca="false">IF($C5=Q$1,$K5,"")</f>
        <v/>
      </c>
      <c r="R5" s="5" t="str">
        <f aca="false">IF($C5=Q$1,$F5,"")</f>
        <v/>
      </c>
      <c r="S5" s="6" t="str">
        <f aca="false">IF($C5=S$1,$K5,"")</f>
        <v/>
      </c>
      <c r="T5" s="5" t="str">
        <f aca="false">IF($C5=S$1,$F5,"")</f>
        <v/>
      </c>
      <c r="U5" s="6" t="str">
        <f aca="false">IF($C5=U$1,$K5,"")</f>
        <v/>
      </c>
      <c r="V5" s="5" t="str">
        <f aca="false">IF($C5=U$1,$F5,"")</f>
        <v/>
      </c>
      <c r="W5" s="6" t="str">
        <f aca="false">IF($C5=W$1,$K5,"")</f>
        <v/>
      </c>
      <c r="X5" s="5" t="str">
        <f aca="false">IF($C5=W$1,$F5,"")</f>
        <v/>
      </c>
      <c r="Y5" s="6" t="str">
        <f aca="false">IF($C5=Y$1,$K5,"")</f>
        <v/>
      </c>
      <c r="Z5" s="5" t="str">
        <f aca="false">IF($C5=Y$1,$F5,"")</f>
        <v/>
      </c>
      <c r="AA5" s="6" t="str">
        <f aca="false">IF($C5=AA$1,$K5,"")</f>
        <v/>
      </c>
      <c r="AB5" s="5" t="str">
        <f aca="false">IF($C5=AA$1,$F5,"")</f>
        <v/>
      </c>
      <c r="AC5" s="6" t="str">
        <f aca="false">IF($C5=AC$1,$K5,"")</f>
        <v/>
      </c>
      <c r="AD5" s="5" t="str">
        <f aca="false">IF($C5=AC$1,$F5,"")</f>
        <v/>
      </c>
      <c r="AE5" s="6" t="str">
        <f aca="false">IF($C5=AE$1,$K5,"")</f>
        <v/>
      </c>
      <c r="AF5" s="5" t="str">
        <f aca="false">IF($C5=AE$1,$F5,"")</f>
        <v/>
      </c>
      <c r="AG5" s="6" t="str">
        <f aca="false">IF($C5=AG$1,$K5,"")</f>
        <v/>
      </c>
      <c r="AH5" s="5" t="str">
        <f aca="false">IF($C5=AG$1,$F5,"")</f>
        <v/>
      </c>
      <c r="AI5" s="6" t="str">
        <f aca="false">IF($C5=AI$1,$K5,"")</f>
        <v/>
      </c>
      <c r="AJ5" s="5" t="str">
        <f aca="false">IF($C5=AI$1,$F5,"")</f>
        <v/>
      </c>
      <c r="AK5" s="6" t="str">
        <f aca="false">IF($C5=AK$1,$K5,"")</f>
        <v/>
      </c>
      <c r="AL5" s="5" t="str">
        <f aca="false">IF($C5=AK$1,$F5,"")</f>
        <v/>
      </c>
      <c r="AM5" s="6" t="str">
        <f aca="false">IF($C5=AM$1,$K5,"")</f>
        <v/>
      </c>
      <c r="AN5" s="5" t="str">
        <f aca="false">IF($C5=AM$1,$F5,"")</f>
        <v/>
      </c>
      <c r="AO5" s="6" t="n">
        <f aca="false">IF($C5=AO$1,$K5,"")</f>
        <v>19749.9</v>
      </c>
      <c r="AP5" s="5" t="n">
        <f aca="false">IF($C5=AO$1,$F5,"")</f>
        <v>30.62</v>
      </c>
      <c r="AQ5" s="5" t="n">
        <f aca="false">IF($F5="",0,IF($D5=AQ$1,$F5,0))</f>
        <v>0</v>
      </c>
      <c r="AR5" s="6" t="n">
        <f aca="false">IF($D5=AQ$1,N($K5)-N($L5)-N($O5),0)</f>
        <v>0</v>
      </c>
      <c r="AS5" s="5" t="n">
        <f aca="false">IF($F5="",0,IF($D5=AS$1,$F5,0))</f>
        <v>30.62</v>
      </c>
      <c r="AT5" s="6" t="n">
        <f aca="false">IF($D5=AS$1,N($K5)-N($L5)-N($O5),0)</f>
        <v>1069.9</v>
      </c>
      <c r="AU5" s="5" t="n">
        <f aca="false">IF(N($J5)&gt;0,N($F5),0)</f>
        <v>30.62</v>
      </c>
      <c r="AV5" s="6" t="n">
        <f aca="false">IF(N($J5)&gt;0,$F5*$J5,0)</f>
        <v>612.4</v>
      </c>
    </row>
    <row r="6" customFormat="false" ht="15" hidden="false" customHeight="false" outlineLevel="0" collapsed="false">
      <c r="A6" s="16" t="n">
        <v>45978</v>
      </c>
      <c r="B6" s="4" t="s">
        <v>232</v>
      </c>
      <c r="C6" s="4" t="s">
        <v>27</v>
      </c>
      <c r="D6" s="4" t="s">
        <v>67</v>
      </c>
      <c r="E6" s="4" t="n">
        <f aca="false">E5+1</f>
        <v>4</v>
      </c>
      <c r="F6" s="5" t="n">
        <v>29.44</v>
      </c>
      <c r="G6" s="6" t="n">
        <v>640</v>
      </c>
      <c r="H6" s="6" t="n">
        <v>645</v>
      </c>
      <c r="I6" s="6" t="n">
        <v>0</v>
      </c>
      <c r="J6" s="6" t="n">
        <v>20</v>
      </c>
      <c r="K6" s="6" t="n">
        <f aca="false">IF($F6="","",$F6*$H6)</f>
        <v>18988.8</v>
      </c>
      <c r="L6" s="6" t="n">
        <f aca="false">IFERROR(ROUND($F6*$G6,-1),"")</f>
        <v>18840</v>
      </c>
      <c r="M6" s="4"/>
      <c r="N6" s="5" t="n">
        <f aca="false">IF($F6="","",IF(N($I6)&gt;0,$F6,0))</f>
        <v>0</v>
      </c>
      <c r="O6" s="6" t="n">
        <f aca="false">IF($F6="","",N($N6)*N($I6))</f>
        <v>0</v>
      </c>
      <c r="P6" s="6" t="str">
        <f aca="false">IF(OR($C6=P$1,$C6="Titan Rocks"),$K6,"")</f>
        <v/>
      </c>
      <c r="Q6" s="6" t="str">
        <f aca="false">IF($C6=Q$1,$K6,"")</f>
        <v/>
      </c>
      <c r="R6" s="5" t="str">
        <f aca="false">IF($C6=Q$1,$F6,"")</f>
        <v/>
      </c>
      <c r="S6" s="6" t="str">
        <f aca="false">IF($C6=S$1,$K6,"")</f>
        <v/>
      </c>
      <c r="T6" s="5" t="str">
        <f aca="false">IF($C6=S$1,$F6,"")</f>
        <v/>
      </c>
      <c r="U6" s="6" t="str">
        <f aca="false">IF($C6=U$1,$K6,"")</f>
        <v/>
      </c>
      <c r="V6" s="5" t="str">
        <f aca="false">IF($C6=U$1,$F6,"")</f>
        <v/>
      </c>
      <c r="W6" s="6" t="str">
        <f aca="false">IF($C6=W$1,$K6,"")</f>
        <v/>
      </c>
      <c r="X6" s="5" t="str">
        <f aca="false">IF($C6=W$1,$F6,"")</f>
        <v/>
      </c>
      <c r="Y6" s="6" t="str">
        <f aca="false">IF($C6=Y$1,$K6,"")</f>
        <v/>
      </c>
      <c r="Z6" s="5" t="str">
        <f aca="false">IF($C6=Y$1,$F6,"")</f>
        <v/>
      </c>
      <c r="AA6" s="6" t="str">
        <f aca="false">IF($C6=AA$1,$K6,"")</f>
        <v/>
      </c>
      <c r="AB6" s="5" t="str">
        <f aca="false">IF($C6=AA$1,$F6,"")</f>
        <v/>
      </c>
      <c r="AC6" s="6" t="str">
        <f aca="false">IF($C6=AC$1,$K6,"")</f>
        <v/>
      </c>
      <c r="AD6" s="5" t="str">
        <f aca="false">IF($C6=AC$1,$F6,"")</f>
        <v/>
      </c>
      <c r="AE6" s="6" t="str">
        <f aca="false">IF($C6=AE$1,$K6,"")</f>
        <v/>
      </c>
      <c r="AF6" s="5" t="str">
        <f aca="false">IF($C6=AE$1,$F6,"")</f>
        <v/>
      </c>
      <c r="AG6" s="6" t="str">
        <f aca="false">IF($C6=AG$1,$K6,"")</f>
        <v/>
      </c>
      <c r="AH6" s="5" t="str">
        <f aca="false">IF($C6=AG$1,$F6,"")</f>
        <v/>
      </c>
      <c r="AI6" s="6" t="str">
        <f aca="false">IF($C6=AI$1,$K6,"")</f>
        <v/>
      </c>
      <c r="AJ6" s="5" t="str">
        <f aca="false">IF($C6=AI$1,$F6,"")</f>
        <v/>
      </c>
      <c r="AK6" s="6" t="str">
        <f aca="false">IF($C6=AK$1,$K6,"")</f>
        <v/>
      </c>
      <c r="AL6" s="5" t="str">
        <f aca="false">IF($C6=AK$1,$F6,"")</f>
        <v/>
      </c>
      <c r="AM6" s="6" t="str">
        <f aca="false">IF($C6=AM$1,$K6,"")</f>
        <v/>
      </c>
      <c r="AN6" s="5" t="str">
        <f aca="false">IF($C6=AM$1,$F6,"")</f>
        <v/>
      </c>
      <c r="AO6" s="6" t="n">
        <f aca="false">IF($C6=AO$1,$K6,"")</f>
        <v>18988.8</v>
      </c>
      <c r="AP6" s="5" t="n">
        <f aca="false">IF($C6=AO$1,$F6,"")</f>
        <v>29.44</v>
      </c>
      <c r="AQ6" s="5" t="n">
        <f aca="false">IF($F6="",0,IF($D6=AQ$1,$F6,0))</f>
        <v>29.44</v>
      </c>
      <c r="AR6" s="6" t="n">
        <f aca="false">IF($D6=AQ$1,N($K6)-N($L6)-N($O6),0)</f>
        <v>148.799999999999</v>
      </c>
      <c r="AS6" s="5" t="n">
        <f aca="false">IF($F6="",0,IF($D6=AS$1,$F6,0))</f>
        <v>0</v>
      </c>
      <c r="AT6" s="6" t="n">
        <f aca="false">IF($D6=AS$1,N($K6)-N($L6)-N($O6),0)</f>
        <v>0</v>
      </c>
      <c r="AU6" s="5" t="n">
        <f aca="false">IF(N($J6)&gt;0,N($F6),0)</f>
        <v>29.44</v>
      </c>
      <c r="AV6" s="6" t="n">
        <f aca="false">IF(N($J6)&gt;0,$F6*$J6,0)</f>
        <v>588.8</v>
      </c>
    </row>
    <row r="7" customFormat="false" ht="15" hidden="false" customHeight="false" outlineLevel="0" collapsed="false">
      <c r="A7" s="16" t="n">
        <v>45978</v>
      </c>
      <c r="B7" s="4" t="s">
        <v>232</v>
      </c>
      <c r="C7" s="4" t="s">
        <v>27</v>
      </c>
      <c r="D7" s="4" t="s">
        <v>67</v>
      </c>
      <c r="E7" s="4" t="n">
        <f aca="false">E6+1</f>
        <v>5</v>
      </c>
      <c r="F7" s="5" t="n">
        <v>31.16</v>
      </c>
      <c r="G7" s="6" t="n">
        <v>640</v>
      </c>
      <c r="H7" s="6" t="n">
        <v>645</v>
      </c>
      <c r="I7" s="6" t="n">
        <v>0</v>
      </c>
      <c r="J7" s="6" t="n">
        <v>20</v>
      </c>
      <c r="K7" s="6" t="n">
        <f aca="false">IF($F7="","",$F7*$H7)</f>
        <v>20098.2</v>
      </c>
      <c r="L7" s="6" t="n">
        <f aca="false">IFERROR(ROUND($F7*$G7,-1),"")</f>
        <v>19940</v>
      </c>
      <c r="M7" s="4"/>
      <c r="N7" s="5" t="n">
        <f aca="false">IF($F7="","",IF(N($I7)&gt;0,$F7,0))</f>
        <v>0</v>
      </c>
      <c r="O7" s="6" t="n">
        <f aca="false">IF($F7="","",N($N7)*N($I7))</f>
        <v>0</v>
      </c>
      <c r="P7" s="6" t="str">
        <f aca="false">IF(OR($C7=P$1,$C7="Titan Rocks"),$K7,"")</f>
        <v/>
      </c>
      <c r="Q7" s="6" t="str">
        <f aca="false">IF($C7=Q$1,$K7,"")</f>
        <v/>
      </c>
      <c r="R7" s="5" t="str">
        <f aca="false">IF($C7=Q$1,$F7,"")</f>
        <v/>
      </c>
      <c r="S7" s="6" t="str">
        <f aca="false">IF($C7=S$1,$K7,"")</f>
        <v/>
      </c>
      <c r="T7" s="5" t="str">
        <f aca="false">IF($C7=S$1,$F7,"")</f>
        <v/>
      </c>
      <c r="U7" s="6" t="str">
        <f aca="false">IF($C7=U$1,$K7,"")</f>
        <v/>
      </c>
      <c r="V7" s="5" t="str">
        <f aca="false">IF($C7=U$1,$F7,"")</f>
        <v/>
      </c>
      <c r="W7" s="6" t="str">
        <f aca="false">IF($C7=W$1,$K7,"")</f>
        <v/>
      </c>
      <c r="X7" s="5" t="str">
        <f aca="false">IF($C7=W$1,$F7,"")</f>
        <v/>
      </c>
      <c r="Y7" s="6" t="str">
        <f aca="false">IF($C7=Y$1,$K7,"")</f>
        <v/>
      </c>
      <c r="Z7" s="5" t="str">
        <f aca="false">IF($C7=Y$1,$F7,"")</f>
        <v/>
      </c>
      <c r="AA7" s="6" t="str">
        <f aca="false">IF($C7=AA$1,$K7,"")</f>
        <v/>
      </c>
      <c r="AB7" s="5" t="str">
        <f aca="false">IF($C7=AA$1,$F7,"")</f>
        <v/>
      </c>
      <c r="AC7" s="6" t="str">
        <f aca="false">IF($C7=AC$1,$K7,"")</f>
        <v/>
      </c>
      <c r="AD7" s="5" t="str">
        <f aca="false">IF($C7=AC$1,$F7,"")</f>
        <v/>
      </c>
      <c r="AE7" s="6" t="str">
        <f aca="false">IF($C7=AE$1,$K7,"")</f>
        <v/>
      </c>
      <c r="AF7" s="5" t="str">
        <f aca="false">IF($C7=AE$1,$F7,"")</f>
        <v/>
      </c>
      <c r="AG7" s="6" t="str">
        <f aca="false">IF($C7=AG$1,$K7,"")</f>
        <v/>
      </c>
      <c r="AH7" s="5" t="str">
        <f aca="false">IF($C7=AG$1,$F7,"")</f>
        <v/>
      </c>
      <c r="AI7" s="6" t="str">
        <f aca="false">IF($C7=AI$1,$K7,"")</f>
        <v/>
      </c>
      <c r="AJ7" s="5" t="str">
        <f aca="false">IF($C7=AI$1,$F7,"")</f>
        <v/>
      </c>
      <c r="AK7" s="6" t="str">
        <f aca="false">IF($C7=AK$1,$K7,"")</f>
        <v/>
      </c>
      <c r="AL7" s="5" t="str">
        <f aca="false">IF($C7=AK$1,$F7,"")</f>
        <v/>
      </c>
      <c r="AM7" s="6" t="str">
        <f aca="false">IF($C7=AM$1,$K7,"")</f>
        <v/>
      </c>
      <c r="AN7" s="5" t="str">
        <f aca="false">IF($C7=AM$1,$F7,"")</f>
        <v/>
      </c>
      <c r="AO7" s="6" t="n">
        <f aca="false">IF($C7=AO$1,$K7,"")</f>
        <v>20098.2</v>
      </c>
      <c r="AP7" s="5" t="n">
        <f aca="false">IF($C7=AO$1,$F7,"")</f>
        <v>31.16</v>
      </c>
      <c r="AQ7" s="5" t="n">
        <f aca="false">IF($F7="",0,IF($D7=AQ$1,$F7,0))</f>
        <v>31.16</v>
      </c>
      <c r="AR7" s="6" t="n">
        <f aca="false">IF($D7=AQ$1,N($K7)-N($L7)-N($O7),0)</f>
        <v>158.200000000001</v>
      </c>
      <c r="AS7" s="5" t="n">
        <f aca="false">IF($F7="",0,IF($D7=AS$1,$F7,0))</f>
        <v>0</v>
      </c>
      <c r="AT7" s="6" t="n">
        <f aca="false">IF($D7=AS$1,N($K7)-N($L7)-N($O7),0)</f>
        <v>0</v>
      </c>
      <c r="AU7" s="5" t="n">
        <f aca="false">IF(N($J7)&gt;0,N($F7),0)</f>
        <v>31.16</v>
      </c>
      <c r="AV7" s="6" t="n">
        <f aca="false">IF(N($J7)&gt;0,$F7*$J7,0)</f>
        <v>623.2</v>
      </c>
    </row>
    <row r="8" customFormat="false" ht="15" hidden="false" customHeight="false" outlineLevel="0" collapsed="false">
      <c r="A8" s="16" t="n">
        <v>45978</v>
      </c>
      <c r="B8" s="4" t="s">
        <v>232</v>
      </c>
      <c r="C8" s="4" t="s">
        <v>27</v>
      </c>
      <c r="D8" s="4" t="s">
        <v>68</v>
      </c>
      <c r="E8" s="4" t="n">
        <f aca="false">E7+1</f>
        <v>6</v>
      </c>
      <c r="F8" s="5" t="n">
        <v>28.58</v>
      </c>
      <c r="G8" s="6" t="n">
        <v>610</v>
      </c>
      <c r="H8" s="6" t="n">
        <v>645</v>
      </c>
      <c r="I8" s="6" t="n">
        <v>0</v>
      </c>
      <c r="J8" s="6" t="n">
        <v>20</v>
      </c>
      <c r="K8" s="6" t="n">
        <f aca="false">IF($F8="","",$F8*$H8)</f>
        <v>18434.1</v>
      </c>
      <c r="L8" s="6" t="n">
        <f aca="false">IFERROR(ROUND($F8*$G8,-1),"")</f>
        <v>17430</v>
      </c>
      <c r="M8" s="4"/>
      <c r="N8" s="5" t="n">
        <f aca="false">IF($F8="","",IF(N($I8)&gt;0,$F8,0))</f>
        <v>0</v>
      </c>
      <c r="O8" s="6" t="n">
        <f aca="false">IF($F8="","",N($N8)*N($I8))</f>
        <v>0</v>
      </c>
      <c r="P8" s="6" t="str">
        <f aca="false">IF(OR($C8=P$1,$C8="Titan Rocks"),$K8,"")</f>
        <v/>
      </c>
      <c r="Q8" s="6" t="str">
        <f aca="false">IF($C8=Q$1,$K8,"")</f>
        <v/>
      </c>
      <c r="R8" s="5" t="str">
        <f aca="false">IF($C8=Q$1,$F8,"")</f>
        <v/>
      </c>
      <c r="S8" s="6" t="str">
        <f aca="false">IF($C8=S$1,$K8,"")</f>
        <v/>
      </c>
      <c r="T8" s="5" t="str">
        <f aca="false">IF($C8=S$1,$F8,"")</f>
        <v/>
      </c>
      <c r="U8" s="6" t="str">
        <f aca="false">IF($C8=U$1,$K8,"")</f>
        <v/>
      </c>
      <c r="V8" s="5" t="str">
        <f aca="false">IF($C8=U$1,$F8,"")</f>
        <v/>
      </c>
      <c r="W8" s="6" t="str">
        <f aca="false">IF($C8=W$1,$K8,"")</f>
        <v/>
      </c>
      <c r="X8" s="5" t="str">
        <f aca="false">IF($C8=W$1,$F8,"")</f>
        <v/>
      </c>
      <c r="Y8" s="6" t="str">
        <f aca="false">IF($C8=Y$1,$K8,"")</f>
        <v/>
      </c>
      <c r="Z8" s="5" t="str">
        <f aca="false">IF($C8=Y$1,$F8,"")</f>
        <v/>
      </c>
      <c r="AA8" s="6" t="str">
        <f aca="false">IF($C8=AA$1,$K8,"")</f>
        <v/>
      </c>
      <c r="AB8" s="5" t="str">
        <f aca="false">IF($C8=AA$1,$F8,"")</f>
        <v/>
      </c>
      <c r="AC8" s="6" t="str">
        <f aca="false">IF($C8=AC$1,$K8,"")</f>
        <v/>
      </c>
      <c r="AD8" s="5" t="str">
        <f aca="false">IF($C8=AC$1,$F8,"")</f>
        <v/>
      </c>
      <c r="AE8" s="6" t="str">
        <f aca="false">IF($C8=AE$1,$K8,"")</f>
        <v/>
      </c>
      <c r="AF8" s="5" t="str">
        <f aca="false">IF($C8=AE$1,$F8,"")</f>
        <v/>
      </c>
      <c r="AG8" s="6" t="str">
        <f aca="false">IF($C8=AG$1,$K8,"")</f>
        <v/>
      </c>
      <c r="AH8" s="5" t="str">
        <f aca="false">IF($C8=AG$1,$F8,"")</f>
        <v/>
      </c>
      <c r="AI8" s="6" t="str">
        <f aca="false">IF($C8=AI$1,$K8,"")</f>
        <v/>
      </c>
      <c r="AJ8" s="5" t="str">
        <f aca="false">IF($C8=AI$1,$F8,"")</f>
        <v/>
      </c>
      <c r="AK8" s="6" t="str">
        <f aca="false">IF($C8=AK$1,$K8,"")</f>
        <v/>
      </c>
      <c r="AL8" s="5" t="str">
        <f aca="false">IF($C8=AK$1,$F8,"")</f>
        <v/>
      </c>
      <c r="AM8" s="6" t="str">
        <f aca="false">IF($C8=AM$1,$K8,"")</f>
        <v/>
      </c>
      <c r="AN8" s="5" t="str">
        <f aca="false">IF($C8=AM$1,$F8,"")</f>
        <v/>
      </c>
      <c r="AO8" s="6" t="n">
        <f aca="false">IF($C8=AO$1,$K8,"")</f>
        <v>18434.1</v>
      </c>
      <c r="AP8" s="5" t="n">
        <f aca="false">IF($C8=AO$1,$F8,"")</f>
        <v>28.58</v>
      </c>
      <c r="AQ8" s="5" t="n">
        <f aca="false">IF($F8="",0,IF($D8=AQ$1,$F8,0))</f>
        <v>0</v>
      </c>
      <c r="AR8" s="6" t="n">
        <f aca="false">IF($D8=AQ$1,N($K8)-N($L8)-N($O8),0)</f>
        <v>0</v>
      </c>
      <c r="AS8" s="5" t="n">
        <f aca="false">IF($F8="",0,IF($D8=AS$1,$F8,0))</f>
        <v>28.58</v>
      </c>
      <c r="AT8" s="6" t="n">
        <f aca="false">IF($D8=AS$1,N($K8)-N($L8)-N($O8),0)</f>
        <v>1004.1</v>
      </c>
      <c r="AU8" s="5" t="n">
        <f aca="false">IF(N($J8)&gt;0,N($F8),0)</f>
        <v>28.58</v>
      </c>
      <c r="AV8" s="6" t="n">
        <f aca="false">IF(N($J8)&gt;0,$F8*$J8,0)</f>
        <v>571.6</v>
      </c>
    </row>
    <row r="9" customFormat="false" ht="15" hidden="false" customHeight="false" outlineLevel="0" collapsed="false">
      <c r="A9" s="16" t="n">
        <v>45978</v>
      </c>
      <c r="B9" s="4" t="s">
        <v>232</v>
      </c>
      <c r="C9" s="4" t="s">
        <v>27</v>
      </c>
      <c r="D9" s="4" t="s">
        <v>68</v>
      </c>
      <c r="E9" s="4" t="n">
        <f aca="false">E8+1</f>
        <v>7</v>
      </c>
      <c r="F9" s="5" t="n">
        <v>31.08</v>
      </c>
      <c r="G9" s="6" t="n">
        <v>610</v>
      </c>
      <c r="H9" s="6" t="n">
        <v>645</v>
      </c>
      <c r="I9" s="6" t="n">
        <v>0</v>
      </c>
      <c r="J9" s="6" t="n">
        <v>20</v>
      </c>
      <c r="K9" s="6" t="n">
        <f aca="false">IF($F9="","",$F9*$H9)</f>
        <v>20046.6</v>
      </c>
      <c r="L9" s="6" t="n">
        <f aca="false">IFERROR(ROUND($F9*$G9,-1),"")</f>
        <v>18960</v>
      </c>
      <c r="M9" s="4"/>
      <c r="N9" s="5" t="n">
        <f aca="false">IF($F9="","",IF(N($I9)&gt;0,$F9,0))</f>
        <v>0</v>
      </c>
      <c r="O9" s="6" t="n">
        <f aca="false">IF($F9="","",N($N9)*N($I9))</f>
        <v>0</v>
      </c>
      <c r="P9" s="6" t="str">
        <f aca="false">IF(OR($C9=P$1,$C9="Titan Rocks"),$K9,"")</f>
        <v/>
      </c>
      <c r="Q9" s="6" t="str">
        <f aca="false">IF($C9=Q$1,$K9,"")</f>
        <v/>
      </c>
      <c r="R9" s="5" t="str">
        <f aca="false">IF($C9=Q$1,$F9,"")</f>
        <v/>
      </c>
      <c r="S9" s="6" t="str">
        <f aca="false">IF($C9=S$1,$K9,"")</f>
        <v/>
      </c>
      <c r="T9" s="5" t="str">
        <f aca="false">IF($C9=S$1,$F9,"")</f>
        <v/>
      </c>
      <c r="U9" s="6" t="str">
        <f aca="false">IF($C9=U$1,$K9,"")</f>
        <v/>
      </c>
      <c r="V9" s="5" t="str">
        <f aca="false">IF($C9=U$1,$F9,"")</f>
        <v/>
      </c>
      <c r="W9" s="6" t="str">
        <f aca="false">IF($C9=W$1,$K9,"")</f>
        <v/>
      </c>
      <c r="X9" s="5" t="str">
        <f aca="false">IF($C9=W$1,$F9,"")</f>
        <v/>
      </c>
      <c r="Y9" s="6" t="str">
        <f aca="false">IF($C9=Y$1,$K9,"")</f>
        <v/>
      </c>
      <c r="Z9" s="5" t="str">
        <f aca="false">IF($C9=Y$1,$F9,"")</f>
        <v/>
      </c>
      <c r="AA9" s="6" t="str">
        <f aca="false">IF($C9=AA$1,$K9,"")</f>
        <v/>
      </c>
      <c r="AB9" s="5" t="str">
        <f aca="false">IF($C9=AA$1,$F9,"")</f>
        <v/>
      </c>
      <c r="AC9" s="6" t="str">
        <f aca="false">IF($C9=AC$1,$K9,"")</f>
        <v/>
      </c>
      <c r="AD9" s="5" t="str">
        <f aca="false">IF($C9=AC$1,$F9,"")</f>
        <v/>
      </c>
      <c r="AE9" s="6" t="str">
        <f aca="false">IF($C9=AE$1,$K9,"")</f>
        <v/>
      </c>
      <c r="AF9" s="5" t="str">
        <f aca="false">IF($C9=AE$1,$F9,"")</f>
        <v/>
      </c>
      <c r="AG9" s="6" t="str">
        <f aca="false">IF($C9=AG$1,$K9,"")</f>
        <v/>
      </c>
      <c r="AH9" s="5" t="str">
        <f aca="false">IF($C9=AG$1,$F9,"")</f>
        <v/>
      </c>
      <c r="AI9" s="6" t="str">
        <f aca="false">IF($C9=AI$1,$K9,"")</f>
        <v/>
      </c>
      <c r="AJ9" s="5" t="str">
        <f aca="false">IF($C9=AI$1,$F9,"")</f>
        <v/>
      </c>
      <c r="AK9" s="6" t="str">
        <f aca="false">IF($C9=AK$1,$K9,"")</f>
        <v/>
      </c>
      <c r="AL9" s="5" t="str">
        <f aca="false">IF($C9=AK$1,$F9,"")</f>
        <v/>
      </c>
      <c r="AM9" s="6" t="str">
        <f aca="false">IF($C9=AM$1,$K9,"")</f>
        <v/>
      </c>
      <c r="AN9" s="5" t="str">
        <f aca="false">IF($C9=AM$1,$F9,"")</f>
        <v/>
      </c>
      <c r="AO9" s="6" t="n">
        <f aca="false">IF($C9=AO$1,$K9,"")</f>
        <v>20046.6</v>
      </c>
      <c r="AP9" s="5" t="n">
        <f aca="false">IF($C9=AO$1,$F9,"")</f>
        <v>31.08</v>
      </c>
      <c r="AQ9" s="5" t="n">
        <f aca="false">IF($F9="",0,IF($D9=AQ$1,$F9,0))</f>
        <v>0</v>
      </c>
      <c r="AR9" s="6" t="n">
        <f aca="false">IF($D9=AQ$1,N($K9)-N($L9)-N($O9),0)</f>
        <v>0</v>
      </c>
      <c r="AS9" s="5" t="n">
        <f aca="false">IF($F9="",0,IF($D9=AS$1,$F9,0))</f>
        <v>31.08</v>
      </c>
      <c r="AT9" s="6" t="n">
        <f aca="false">IF($D9=AS$1,N($K9)-N($L9)-N($O9),0)</f>
        <v>1086.6</v>
      </c>
      <c r="AU9" s="5" t="n">
        <f aca="false">IF(N($J9)&gt;0,N($F9),0)</f>
        <v>31.08</v>
      </c>
      <c r="AV9" s="6" t="n">
        <f aca="false">IF(N($J9)&gt;0,$F9*$J9,0)</f>
        <v>621.6</v>
      </c>
    </row>
    <row r="10" customFormat="false" ht="15" hidden="false" customHeight="false" outlineLevel="0" collapsed="false">
      <c r="A10" s="16" t="n">
        <v>45978</v>
      </c>
      <c r="B10" s="4" t="s">
        <v>232</v>
      </c>
      <c r="C10" s="4" t="s">
        <v>27</v>
      </c>
      <c r="D10" s="4" t="s">
        <v>68</v>
      </c>
      <c r="E10" s="4" t="n">
        <f aca="false">E9+1</f>
        <v>8</v>
      </c>
      <c r="F10" s="5" t="n">
        <v>32.95</v>
      </c>
      <c r="G10" s="6" t="n">
        <v>610</v>
      </c>
      <c r="H10" s="6" t="n">
        <v>645</v>
      </c>
      <c r="I10" s="6" t="n">
        <v>0</v>
      </c>
      <c r="J10" s="6" t="n">
        <v>20</v>
      </c>
      <c r="K10" s="6" t="n">
        <f aca="false">IF($F10="","",$F10*$H10)</f>
        <v>21252.75</v>
      </c>
      <c r="L10" s="6" t="n">
        <f aca="false">IFERROR(ROUND($F10*$G10,-1),"")</f>
        <v>20100</v>
      </c>
      <c r="M10" s="4"/>
      <c r="N10" s="5" t="n">
        <f aca="false">IF($F10="","",IF(N($I10)&gt;0,$F10,0))</f>
        <v>0</v>
      </c>
      <c r="O10" s="6" t="n">
        <f aca="false">IF($F10="","",N($N10)*N($I10))</f>
        <v>0</v>
      </c>
      <c r="P10" s="6" t="str">
        <f aca="false">IF(OR($C10=P$1,$C10="Titan Rocks"),$K10,"")</f>
        <v/>
      </c>
      <c r="Q10" s="6" t="str">
        <f aca="false">IF($C10=Q$1,$K10,"")</f>
        <v/>
      </c>
      <c r="R10" s="5" t="str">
        <f aca="false">IF($C10=Q$1,$F10,"")</f>
        <v/>
      </c>
      <c r="S10" s="6" t="str">
        <f aca="false">IF($C10=S$1,$K10,"")</f>
        <v/>
      </c>
      <c r="T10" s="5" t="str">
        <f aca="false">IF($C10=S$1,$F10,"")</f>
        <v/>
      </c>
      <c r="U10" s="6" t="str">
        <f aca="false">IF($C10=U$1,$K10,"")</f>
        <v/>
      </c>
      <c r="V10" s="5" t="str">
        <f aca="false">IF($C10=U$1,$F10,"")</f>
        <v/>
      </c>
      <c r="W10" s="6" t="str">
        <f aca="false">IF($C10=W$1,$K10,"")</f>
        <v/>
      </c>
      <c r="X10" s="5" t="str">
        <f aca="false">IF($C10=W$1,$F10,"")</f>
        <v/>
      </c>
      <c r="Y10" s="6" t="str">
        <f aca="false">IF($C10=Y$1,$K10,"")</f>
        <v/>
      </c>
      <c r="Z10" s="5" t="str">
        <f aca="false">IF($C10=Y$1,$F10,"")</f>
        <v/>
      </c>
      <c r="AA10" s="6" t="str">
        <f aca="false">IF($C10=AA$1,$K10,"")</f>
        <v/>
      </c>
      <c r="AB10" s="5" t="str">
        <f aca="false">IF($C10=AA$1,$F10,"")</f>
        <v/>
      </c>
      <c r="AC10" s="6" t="str">
        <f aca="false">IF($C10=AC$1,$K10,"")</f>
        <v/>
      </c>
      <c r="AD10" s="5" t="str">
        <f aca="false">IF($C10=AC$1,$F10,"")</f>
        <v/>
      </c>
      <c r="AE10" s="6" t="str">
        <f aca="false">IF($C10=AE$1,$K10,"")</f>
        <v/>
      </c>
      <c r="AF10" s="5" t="str">
        <f aca="false">IF($C10=AE$1,$F10,"")</f>
        <v/>
      </c>
      <c r="AG10" s="6" t="str">
        <f aca="false">IF($C10=AG$1,$K10,"")</f>
        <v/>
      </c>
      <c r="AH10" s="5" t="str">
        <f aca="false">IF($C10=AG$1,$F10,"")</f>
        <v/>
      </c>
      <c r="AI10" s="6" t="str">
        <f aca="false">IF($C10=AI$1,$K10,"")</f>
        <v/>
      </c>
      <c r="AJ10" s="5" t="str">
        <f aca="false">IF($C10=AI$1,$F10,"")</f>
        <v/>
      </c>
      <c r="AK10" s="6" t="str">
        <f aca="false">IF($C10=AK$1,$K10,"")</f>
        <v/>
      </c>
      <c r="AL10" s="5" t="str">
        <f aca="false">IF($C10=AK$1,$F10,"")</f>
        <v/>
      </c>
      <c r="AM10" s="6" t="str">
        <f aca="false">IF($C10=AM$1,$K10,"")</f>
        <v/>
      </c>
      <c r="AN10" s="5" t="str">
        <f aca="false">IF($C10=AM$1,$F10,"")</f>
        <v/>
      </c>
      <c r="AO10" s="6" t="n">
        <f aca="false">IF($C10=AO$1,$K10,"")</f>
        <v>21252.75</v>
      </c>
      <c r="AP10" s="5" t="n">
        <f aca="false">IF($C10=AO$1,$F10,"")</f>
        <v>32.95</v>
      </c>
      <c r="AQ10" s="5" t="n">
        <f aca="false">IF($F10="",0,IF($D10=AQ$1,$F10,0))</f>
        <v>0</v>
      </c>
      <c r="AR10" s="6" t="n">
        <f aca="false">IF($D10=AQ$1,N($K10)-N($L10)-N($O10),0)</f>
        <v>0</v>
      </c>
      <c r="AS10" s="5" t="n">
        <f aca="false">IF($F10="",0,IF($D10=AS$1,$F10,0))</f>
        <v>32.95</v>
      </c>
      <c r="AT10" s="6" t="n">
        <f aca="false">IF($D10=AS$1,N($K10)-N($L10)-N($O10),0)</f>
        <v>1152.75</v>
      </c>
      <c r="AU10" s="5" t="n">
        <f aca="false">IF(N($J10)&gt;0,N($F10),0)</f>
        <v>32.95</v>
      </c>
      <c r="AV10" s="6" t="n">
        <f aca="false">IF(N($J10)&gt;0,$F10*$J10,0)</f>
        <v>659</v>
      </c>
    </row>
    <row r="11" customFormat="false" ht="15" hidden="false" customHeight="false" outlineLevel="0" collapsed="false">
      <c r="A11" s="16" t="n">
        <v>45978</v>
      </c>
      <c r="B11" s="4" t="s">
        <v>232</v>
      </c>
      <c r="C11" s="4" t="s">
        <v>27</v>
      </c>
      <c r="D11" s="4" t="s">
        <v>68</v>
      </c>
      <c r="E11" s="4" t="n">
        <f aca="false">E10+1</f>
        <v>9</v>
      </c>
      <c r="F11" s="5" t="n">
        <v>32.39</v>
      </c>
      <c r="G11" s="6" t="n">
        <v>610</v>
      </c>
      <c r="H11" s="6" t="n">
        <v>645</v>
      </c>
      <c r="I11" s="6" t="n">
        <v>0</v>
      </c>
      <c r="J11" s="6" t="n">
        <v>20</v>
      </c>
      <c r="K11" s="6" t="n">
        <f aca="false">IF($F11="","",$F11*$H11)</f>
        <v>20891.55</v>
      </c>
      <c r="L11" s="6" t="n">
        <f aca="false">IFERROR(ROUND($F11*$G11,-1),"")</f>
        <v>19760</v>
      </c>
      <c r="M11" s="4"/>
      <c r="N11" s="5" t="n">
        <f aca="false">IF($F11="","",IF(N($I11)&gt;0,$F11,0))</f>
        <v>0</v>
      </c>
      <c r="O11" s="6" t="n">
        <f aca="false">IF($F11="","",N($N11)*N($I11))</f>
        <v>0</v>
      </c>
      <c r="P11" s="6" t="str">
        <f aca="false">IF(OR($C11=P$1,$C11="Titan Rocks"),$K11,"")</f>
        <v/>
      </c>
      <c r="Q11" s="6" t="str">
        <f aca="false">IF($C11=Q$1,$K11,"")</f>
        <v/>
      </c>
      <c r="R11" s="5" t="str">
        <f aca="false">IF($C11=Q$1,$F11,"")</f>
        <v/>
      </c>
      <c r="S11" s="6" t="str">
        <f aca="false">IF($C11=S$1,$K11,"")</f>
        <v/>
      </c>
      <c r="T11" s="5" t="str">
        <f aca="false">IF($C11=S$1,$F11,"")</f>
        <v/>
      </c>
      <c r="U11" s="6" t="str">
        <f aca="false">IF($C11=U$1,$K11,"")</f>
        <v/>
      </c>
      <c r="V11" s="5" t="str">
        <f aca="false">IF($C11=U$1,$F11,"")</f>
        <v/>
      </c>
      <c r="W11" s="6" t="str">
        <f aca="false">IF($C11=W$1,$K11,"")</f>
        <v/>
      </c>
      <c r="X11" s="5" t="str">
        <f aca="false">IF($C11=W$1,$F11,"")</f>
        <v/>
      </c>
      <c r="Y11" s="6" t="str">
        <f aca="false">IF($C11=Y$1,$K11,"")</f>
        <v/>
      </c>
      <c r="Z11" s="5" t="str">
        <f aca="false">IF($C11=Y$1,$F11,"")</f>
        <v/>
      </c>
      <c r="AA11" s="6" t="str">
        <f aca="false">IF($C11=AA$1,$K11,"")</f>
        <v/>
      </c>
      <c r="AB11" s="5" t="str">
        <f aca="false">IF($C11=AA$1,$F11,"")</f>
        <v/>
      </c>
      <c r="AC11" s="6" t="str">
        <f aca="false">IF($C11=AC$1,$K11,"")</f>
        <v/>
      </c>
      <c r="AD11" s="5" t="str">
        <f aca="false">IF($C11=AC$1,$F11,"")</f>
        <v/>
      </c>
      <c r="AE11" s="6" t="str">
        <f aca="false">IF($C11=AE$1,$K11,"")</f>
        <v/>
      </c>
      <c r="AF11" s="5" t="str">
        <f aca="false">IF($C11=AE$1,$F11,"")</f>
        <v/>
      </c>
      <c r="AG11" s="6" t="str">
        <f aca="false">IF($C11=AG$1,$K11,"")</f>
        <v/>
      </c>
      <c r="AH11" s="5" t="str">
        <f aca="false">IF($C11=AG$1,$F11,"")</f>
        <v/>
      </c>
      <c r="AI11" s="6" t="str">
        <f aca="false">IF($C11=AI$1,$K11,"")</f>
        <v/>
      </c>
      <c r="AJ11" s="5" t="str">
        <f aca="false">IF($C11=AI$1,$F11,"")</f>
        <v/>
      </c>
      <c r="AK11" s="6" t="str">
        <f aca="false">IF($C11=AK$1,$K11,"")</f>
        <v/>
      </c>
      <c r="AL11" s="5" t="str">
        <f aca="false">IF($C11=AK$1,$F11,"")</f>
        <v/>
      </c>
      <c r="AM11" s="6" t="str">
        <f aca="false">IF($C11=AM$1,$K11,"")</f>
        <v/>
      </c>
      <c r="AN11" s="5" t="str">
        <f aca="false">IF($C11=AM$1,$F11,"")</f>
        <v/>
      </c>
      <c r="AO11" s="6" t="n">
        <f aca="false">IF($C11=AO$1,$K11,"")</f>
        <v>20891.55</v>
      </c>
      <c r="AP11" s="5" t="n">
        <f aca="false">IF($C11=AO$1,$F11,"")</f>
        <v>32.39</v>
      </c>
      <c r="AQ11" s="5" t="n">
        <f aca="false">IF($F11="",0,IF($D11=AQ$1,$F11,0))</f>
        <v>0</v>
      </c>
      <c r="AR11" s="6" t="n">
        <f aca="false">IF($D11=AQ$1,N($K11)-N($L11)-N($O11),0)</f>
        <v>0</v>
      </c>
      <c r="AS11" s="5" t="n">
        <f aca="false">IF($F11="",0,IF($D11=AS$1,$F11,0))</f>
        <v>32.39</v>
      </c>
      <c r="AT11" s="6" t="n">
        <f aca="false">IF($D11=AS$1,N($K11)-N($L11)-N($O11),0)</f>
        <v>1131.55</v>
      </c>
      <c r="AU11" s="5" t="n">
        <f aca="false">IF(N($J11)&gt;0,N($F11),0)</f>
        <v>32.39</v>
      </c>
      <c r="AV11" s="6" t="n">
        <f aca="false">IF(N($J11)&gt;0,$F11*$J11,0)</f>
        <v>647.8</v>
      </c>
    </row>
    <row r="12" customFormat="false" ht="15" hidden="false" customHeight="false" outlineLevel="0" collapsed="false">
      <c r="A12" s="16" t="n">
        <v>45978</v>
      </c>
      <c r="B12" s="4" t="s">
        <v>232</v>
      </c>
      <c r="C12" s="4" t="s">
        <v>27</v>
      </c>
      <c r="D12" s="4" t="s">
        <v>68</v>
      </c>
      <c r="E12" s="4" t="n">
        <f aca="false">E11+1</f>
        <v>10</v>
      </c>
      <c r="F12" s="5" t="n">
        <v>33.2</v>
      </c>
      <c r="G12" s="6" t="n">
        <v>610</v>
      </c>
      <c r="H12" s="6" t="n">
        <v>645</v>
      </c>
      <c r="I12" s="6" t="n">
        <v>0</v>
      </c>
      <c r="J12" s="6" t="n">
        <v>20</v>
      </c>
      <c r="K12" s="6" t="n">
        <f aca="false">IF($F12="","",$F12*$H12)</f>
        <v>21414</v>
      </c>
      <c r="L12" s="6" t="n">
        <f aca="false">IFERROR(ROUND($F12*$G12,-1),"")</f>
        <v>20250</v>
      </c>
      <c r="M12" s="4"/>
      <c r="N12" s="5" t="n">
        <f aca="false">IF($F12="","",IF(N($I12)&gt;0,$F12,0))</f>
        <v>0</v>
      </c>
      <c r="O12" s="6" t="n">
        <f aca="false">IF($F12="","",N($N12)*N($I12))</f>
        <v>0</v>
      </c>
      <c r="P12" s="6" t="str">
        <f aca="false">IF(OR($C12=P$1,$C12="Titan Rocks"),$K12,"")</f>
        <v/>
      </c>
      <c r="Q12" s="6" t="str">
        <f aca="false">IF($C12=Q$1,$K12,"")</f>
        <v/>
      </c>
      <c r="R12" s="5" t="str">
        <f aca="false">IF($C12=Q$1,$F12,"")</f>
        <v/>
      </c>
      <c r="S12" s="6" t="str">
        <f aca="false">IF($C12=S$1,$K12,"")</f>
        <v/>
      </c>
      <c r="T12" s="5" t="str">
        <f aca="false">IF($C12=S$1,$F12,"")</f>
        <v/>
      </c>
      <c r="U12" s="6" t="str">
        <f aca="false">IF($C12=U$1,$K12,"")</f>
        <v/>
      </c>
      <c r="V12" s="5" t="str">
        <f aca="false">IF($C12=U$1,$F12,"")</f>
        <v/>
      </c>
      <c r="W12" s="6" t="str">
        <f aca="false">IF($C12=W$1,$K12,"")</f>
        <v/>
      </c>
      <c r="X12" s="5" t="str">
        <f aca="false">IF($C12=W$1,$F12,"")</f>
        <v/>
      </c>
      <c r="Y12" s="6" t="str">
        <f aca="false">IF($C12=Y$1,$K12,"")</f>
        <v/>
      </c>
      <c r="Z12" s="5" t="str">
        <f aca="false">IF($C12=Y$1,$F12,"")</f>
        <v/>
      </c>
      <c r="AA12" s="6" t="str">
        <f aca="false">IF($C12=AA$1,$K12,"")</f>
        <v/>
      </c>
      <c r="AB12" s="5" t="str">
        <f aca="false">IF($C12=AA$1,$F12,"")</f>
        <v/>
      </c>
      <c r="AC12" s="6" t="str">
        <f aca="false">IF($C12=AC$1,$K12,"")</f>
        <v/>
      </c>
      <c r="AD12" s="5" t="str">
        <f aca="false">IF($C12=AC$1,$F12,"")</f>
        <v/>
      </c>
      <c r="AE12" s="6" t="str">
        <f aca="false">IF($C12=AE$1,$K12,"")</f>
        <v/>
      </c>
      <c r="AF12" s="5" t="str">
        <f aca="false">IF($C12=AE$1,$F12,"")</f>
        <v/>
      </c>
      <c r="AG12" s="6" t="str">
        <f aca="false">IF($C12=AG$1,$K12,"")</f>
        <v/>
      </c>
      <c r="AH12" s="5" t="str">
        <f aca="false">IF($C12=AG$1,$F12,"")</f>
        <v/>
      </c>
      <c r="AI12" s="6" t="str">
        <f aca="false">IF($C12=AI$1,$K12,"")</f>
        <v/>
      </c>
      <c r="AJ12" s="5" t="str">
        <f aca="false">IF($C12=AI$1,$F12,"")</f>
        <v/>
      </c>
      <c r="AK12" s="6" t="str">
        <f aca="false">IF($C12=AK$1,$K12,"")</f>
        <v/>
      </c>
      <c r="AL12" s="5" t="str">
        <f aca="false">IF($C12=AK$1,$F12,"")</f>
        <v/>
      </c>
      <c r="AM12" s="6" t="str">
        <f aca="false">IF($C12=AM$1,$K12,"")</f>
        <v/>
      </c>
      <c r="AN12" s="5" t="str">
        <f aca="false">IF($C12=AM$1,$F12,"")</f>
        <v/>
      </c>
      <c r="AO12" s="6" t="n">
        <f aca="false">IF($C12=AO$1,$K12,"")</f>
        <v>21414</v>
      </c>
      <c r="AP12" s="5" t="n">
        <f aca="false">IF($C12=AO$1,$F12,"")</f>
        <v>33.2</v>
      </c>
      <c r="AQ12" s="5" t="n">
        <f aca="false">IF($F12="",0,IF($D12=AQ$1,$F12,0))</f>
        <v>0</v>
      </c>
      <c r="AR12" s="6" t="n">
        <f aca="false">IF($D12=AQ$1,N($K12)-N($L12)-N($O12),0)</f>
        <v>0</v>
      </c>
      <c r="AS12" s="5" t="n">
        <f aca="false">IF($F12="",0,IF($D12=AS$1,$F12,0))</f>
        <v>33.2</v>
      </c>
      <c r="AT12" s="6" t="n">
        <f aca="false">IF($D12=AS$1,N($K12)-N($L12)-N($O12),0)</f>
        <v>1164</v>
      </c>
      <c r="AU12" s="5" t="n">
        <f aca="false">IF(N($J12)&gt;0,N($F12),0)</f>
        <v>33.2</v>
      </c>
      <c r="AV12" s="6" t="n">
        <f aca="false">IF(N($J12)&gt;0,$F12*$J12,0)</f>
        <v>664</v>
      </c>
    </row>
    <row r="13" customFormat="false" ht="15" hidden="false" customHeight="false" outlineLevel="0" collapsed="false">
      <c r="A13" s="16" t="n">
        <v>45978</v>
      </c>
      <c r="B13" s="4" t="s">
        <v>232</v>
      </c>
      <c r="C13" s="4" t="s">
        <v>27</v>
      </c>
      <c r="D13" s="4" t="s">
        <v>68</v>
      </c>
      <c r="E13" s="4" t="n">
        <f aca="false">E12+1</f>
        <v>11</v>
      </c>
      <c r="F13" s="5" t="n">
        <v>31.53</v>
      </c>
      <c r="G13" s="6" t="n">
        <v>610</v>
      </c>
      <c r="H13" s="6" t="n">
        <v>645</v>
      </c>
      <c r="I13" s="6" t="n">
        <v>0</v>
      </c>
      <c r="J13" s="6" t="n">
        <v>20</v>
      </c>
      <c r="K13" s="6" t="n">
        <f aca="false">IF($F13="","",$F13*$H13)</f>
        <v>20336.85</v>
      </c>
      <c r="L13" s="6" t="n">
        <f aca="false">IFERROR(ROUND($F13*$G13,-1),"")</f>
        <v>19230</v>
      </c>
      <c r="M13" s="4"/>
      <c r="N13" s="5" t="n">
        <f aca="false">IF($F13="","",IF(N($I13)&gt;0,$F13,0))</f>
        <v>0</v>
      </c>
      <c r="O13" s="6" t="n">
        <f aca="false">IF($F13="","",N($N13)*N($I13))</f>
        <v>0</v>
      </c>
      <c r="P13" s="6" t="str">
        <f aca="false">IF(OR($C13=P$1,$C13="Titan Rocks"),$K13,"")</f>
        <v/>
      </c>
      <c r="Q13" s="6" t="str">
        <f aca="false">IF($C13=Q$1,$K13,"")</f>
        <v/>
      </c>
      <c r="R13" s="5" t="str">
        <f aca="false">IF($C13=Q$1,$F13,"")</f>
        <v/>
      </c>
      <c r="S13" s="6" t="str">
        <f aca="false">IF($C13=S$1,$K13,"")</f>
        <v/>
      </c>
      <c r="T13" s="5" t="str">
        <f aca="false">IF($C13=S$1,$F13,"")</f>
        <v/>
      </c>
      <c r="U13" s="6" t="str">
        <f aca="false">IF($C13=U$1,$K13,"")</f>
        <v/>
      </c>
      <c r="V13" s="5" t="str">
        <f aca="false">IF($C13=U$1,$F13,"")</f>
        <v/>
      </c>
      <c r="W13" s="6" t="str">
        <f aca="false">IF($C13=W$1,$K13,"")</f>
        <v/>
      </c>
      <c r="X13" s="5" t="str">
        <f aca="false">IF($C13=W$1,$F13,"")</f>
        <v/>
      </c>
      <c r="Y13" s="6" t="str">
        <f aca="false">IF($C13=Y$1,$K13,"")</f>
        <v/>
      </c>
      <c r="Z13" s="5" t="str">
        <f aca="false">IF($C13=Y$1,$F13,"")</f>
        <v/>
      </c>
      <c r="AA13" s="6" t="str">
        <f aca="false">IF($C13=AA$1,$K13,"")</f>
        <v/>
      </c>
      <c r="AB13" s="5" t="str">
        <f aca="false">IF($C13=AA$1,$F13,"")</f>
        <v/>
      </c>
      <c r="AC13" s="6" t="str">
        <f aca="false">IF($C13=AC$1,$K13,"")</f>
        <v/>
      </c>
      <c r="AD13" s="5" t="str">
        <f aca="false">IF($C13=AC$1,$F13,"")</f>
        <v/>
      </c>
      <c r="AE13" s="6" t="str">
        <f aca="false">IF($C13=AE$1,$K13,"")</f>
        <v/>
      </c>
      <c r="AF13" s="5" t="str">
        <f aca="false">IF($C13=AE$1,$F13,"")</f>
        <v/>
      </c>
      <c r="AG13" s="6" t="str">
        <f aca="false">IF($C13=AG$1,$K13,"")</f>
        <v/>
      </c>
      <c r="AH13" s="5" t="str">
        <f aca="false">IF($C13=AG$1,$F13,"")</f>
        <v/>
      </c>
      <c r="AI13" s="6" t="str">
        <f aca="false">IF($C13=AI$1,$K13,"")</f>
        <v/>
      </c>
      <c r="AJ13" s="5" t="str">
        <f aca="false">IF($C13=AI$1,$F13,"")</f>
        <v/>
      </c>
      <c r="AK13" s="6" t="str">
        <f aca="false">IF($C13=AK$1,$K13,"")</f>
        <v/>
      </c>
      <c r="AL13" s="5" t="str">
        <f aca="false">IF($C13=AK$1,$F13,"")</f>
        <v/>
      </c>
      <c r="AM13" s="6" t="str">
        <f aca="false">IF($C13=AM$1,$K13,"")</f>
        <v/>
      </c>
      <c r="AN13" s="5" t="str">
        <f aca="false">IF($C13=AM$1,$F13,"")</f>
        <v/>
      </c>
      <c r="AO13" s="6" t="n">
        <f aca="false">IF($C13=AO$1,$K13,"")</f>
        <v>20336.85</v>
      </c>
      <c r="AP13" s="5" t="n">
        <f aca="false">IF($C13=AO$1,$F13,"")</f>
        <v>31.53</v>
      </c>
      <c r="AQ13" s="5" t="n">
        <f aca="false">IF($F13="",0,IF($D13=AQ$1,$F13,0))</f>
        <v>0</v>
      </c>
      <c r="AR13" s="6" t="n">
        <f aca="false">IF($D13=AQ$1,N($K13)-N($L13)-N($O13),0)</f>
        <v>0</v>
      </c>
      <c r="AS13" s="5" t="n">
        <f aca="false">IF($F13="",0,IF($D13=AS$1,$F13,0))</f>
        <v>31.53</v>
      </c>
      <c r="AT13" s="6" t="n">
        <f aca="false">IF($D13=AS$1,N($K13)-N($L13)-N($O13),0)</f>
        <v>1106.85</v>
      </c>
      <c r="AU13" s="5" t="n">
        <f aca="false">IF(N($J13)&gt;0,N($F13),0)</f>
        <v>31.53</v>
      </c>
      <c r="AV13" s="6" t="n">
        <f aca="false">IF(N($J13)&gt;0,$F13*$J13,0)</f>
        <v>630.6</v>
      </c>
    </row>
    <row r="14" customFormat="false" ht="15" hidden="false" customHeight="false" outlineLevel="0" collapsed="false">
      <c r="A14" s="16" t="n">
        <v>45978</v>
      </c>
      <c r="B14" s="4" t="s">
        <v>232</v>
      </c>
      <c r="C14" s="4" t="s">
        <v>27</v>
      </c>
      <c r="D14" s="4" t="s">
        <v>68</v>
      </c>
      <c r="E14" s="4" t="n">
        <f aca="false">E13+1</f>
        <v>12</v>
      </c>
      <c r="F14" s="5" t="n">
        <v>31.62</v>
      </c>
      <c r="G14" s="6" t="n">
        <v>610</v>
      </c>
      <c r="H14" s="6" t="n">
        <v>645</v>
      </c>
      <c r="I14" s="6" t="n">
        <v>0</v>
      </c>
      <c r="J14" s="6" t="n">
        <v>20</v>
      </c>
      <c r="K14" s="6" t="n">
        <f aca="false">IF($F14="","",$F14*$H14)</f>
        <v>20394.9</v>
      </c>
      <c r="L14" s="6" t="n">
        <f aca="false">IFERROR(ROUND($F14*$G14,-1),"")</f>
        <v>19290</v>
      </c>
      <c r="M14" s="4"/>
      <c r="N14" s="5" t="n">
        <f aca="false">IF($F14="","",IF(N($I14)&gt;0,$F14,0))</f>
        <v>0</v>
      </c>
      <c r="O14" s="6" t="n">
        <f aca="false">IF($F14="","",N($N14)*N($I14))</f>
        <v>0</v>
      </c>
      <c r="P14" s="6" t="str">
        <f aca="false">IF(OR($C14=P$1,$C14="Titan Rocks"),$K14,"")</f>
        <v/>
      </c>
      <c r="Q14" s="6" t="str">
        <f aca="false">IF($C14=Q$1,$K14,"")</f>
        <v/>
      </c>
      <c r="R14" s="5" t="str">
        <f aca="false">IF($C14=Q$1,$F14,"")</f>
        <v/>
      </c>
      <c r="S14" s="6" t="str">
        <f aca="false">IF($C14=S$1,$K14,"")</f>
        <v/>
      </c>
      <c r="T14" s="5" t="str">
        <f aca="false">IF($C14=S$1,$F14,"")</f>
        <v/>
      </c>
      <c r="U14" s="6" t="str">
        <f aca="false">IF($C14=U$1,$K14,"")</f>
        <v/>
      </c>
      <c r="V14" s="5" t="str">
        <f aca="false">IF($C14=U$1,$F14,"")</f>
        <v/>
      </c>
      <c r="W14" s="6" t="str">
        <f aca="false">IF($C14=W$1,$K14,"")</f>
        <v/>
      </c>
      <c r="X14" s="5" t="str">
        <f aca="false">IF($C14=W$1,$F14,"")</f>
        <v/>
      </c>
      <c r="Y14" s="6" t="str">
        <f aca="false">IF($C14=Y$1,$K14,"")</f>
        <v/>
      </c>
      <c r="Z14" s="5" t="str">
        <f aca="false">IF($C14=Y$1,$F14,"")</f>
        <v/>
      </c>
      <c r="AA14" s="6" t="str">
        <f aca="false">IF($C14=AA$1,$K14,"")</f>
        <v/>
      </c>
      <c r="AB14" s="5" t="str">
        <f aca="false">IF($C14=AA$1,$F14,"")</f>
        <v/>
      </c>
      <c r="AC14" s="6" t="str">
        <f aca="false">IF($C14=AC$1,$K14,"")</f>
        <v/>
      </c>
      <c r="AD14" s="5" t="str">
        <f aca="false">IF($C14=AC$1,$F14,"")</f>
        <v/>
      </c>
      <c r="AE14" s="6" t="str">
        <f aca="false">IF($C14=AE$1,$K14,"")</f>
        <v/>
      </c>
      <c r="AF14" s="5" t="str">
        <f aca="false">IF($C14=AE$1,$F14,"")</f>
        <v/>
      </c>
      <c r="AG14" s="6" t="str">
        <f aca="false">IF($C14=AG$1,$K14,"")</f>
        <v/>
      </c>
      <c r="AH14" s="5" t="str">
        <f aca="false">IF($C14=AG$1,$F14,"")</f>
        <v/>
      </c>
      <c r="AI14" s="6" t="str">
        <f aca="false">IF($C14=AI$1,$K14,"")</f>
        <v/>
      </c>
      <c r="AJ14" s="5" t="str">
        <f aca="false">IF($C14=AI$1,$F14,"")</f>
        <v/>
      </c>
      <c r="AK14" s="6" t="str">
        <f aca="false">IF($C14=AK$1,$K14,"")</f>
        <v/>
      </c>
      <c r="AL14" s="5" t="str">
        <f aca="false">IF($C14=AK$1,$F14,"")</f>
        <v/>
      </c>
      <c r="AM14" s="6" t="str">
        <f aca="false">IF($C14=AM$1,$K14,"")</f>
        <v/>
      </c>
      <c r="AN14" s="5" t="str">
        <f aca="false">IF($C14=AM$1,$F14,"")</f>
        <v/>
      </c>
      <c r="AO14" s="6" t="n">
        <f aca="false">IF($C14=AO$1,$K14,"")</f>
        <v>20394.9</v>
      </c>
      <c r="AP14" s="5" t="n">
        <f aca="false">IF($C14=AO$1,$F14,"")</f>
        <v>31.62</v>
      </c>
      <c r="AQ14" s="5" t="n">
        <f aca="false">IF($F14="",0,IF($D14=AQ$1,$F14,0))</f>
        <v>0</v>
      </c>
      <c r="AR14" s="6" t="n">
        <f aca="false">IF($D14=AQ$1,N($K14)-N($L14)-N($O14),0)</f>
        <v>0</v>
      </c>
      <c r="AS14" s="5" t="n">
        <f aca="false">IF($F14="",0,IF($D14=AS$1,$F14,0))</f>
        <v>31.62</v>
      </c>
      <c r="AT14" s="6" t="n">
        <f aca="false">IF($D14=AS$1,N($K14)-N($L14)-N($O14),0)</f>
        <v>1104.9</v>
      </c>
      <c r="AU14" s="5" t="n">
        <f aca="false">IF(N($J14)&gt;0,N($F14),0)</f>
        <v>31.62</v>
      </c>
      <c r="AV14" s="6" t="n">
        <f aca="false">IF(N($J14)&gt;0,$F14*$J14,0)</f>
        <v>632.4</v>
      </c>
    </row>
    <row r="15" customFormat="false" ht="15" hidden="false" customHeight="false" outlineLevel="0" collapsed="false">
      <c r="A15" s="16" t="n">
        <v>45978</v>
      </c>
      <c r="B15" s="4" t="s">
        <v>232</v>
      </c>
      <c r="C15" s="4" t="s">
        <v>27</v>
      </c>
      <c r="D15" s="4" t="s">
        <v>68</v>
      </c>
      <c r="E15" s="4" t="n">
        <f aca="false">E14+1</f>
        <v>13</v>
      </c>
      <c r="F15" s="5" t="n">
        <v>32.09</v>
      </c>
      <c r="G15" s="6" t="n">
        <v>610</v>
      </c>
      <c r="H15" s="6" t="n">
        <v>645</v>
      </c>
      <c r="I15" s="6" t="n">
        <v>0</v>
      </c>
      <c r="J15" s="6" t="n">
        <v>20</v>
      </c>
      <c r="K15" s="6" t="n">
        <f aca="false">IF($F15="","",$F15*$H15)</f>
        <v>20698.05</v>
      </c>
      <c r="L15" s="6" t="n">
        <f aca="false">IFERROR(ROUND($F15*$G15,-1),"")</f>
        <v>19570</v>
      </c>
      <c r="M15" s="4"/>
      <c r="N15" s="5" t="n">
        <f aca="false">IF($F15="","",IF(N($I15)&gt;0,$F15,0))</f>
        <v>0</v>
      </c>
      <c r="O15" s="6" t="n">
        <f aca="false">IF($F15="","",N($N15)*N($I15))</f>
        <v>0</v>
      </c>
      <c r="P15" s="6" t="str">
        <f aca="false">IF(OR($C15=P$1,$C15="Titan Rocks"),$K15,"")</f>
        <v/>
      </c>
      <c r="Q15" s="6" t="str">
        <f aca="false">IF($C15=Q$1,$K15,"")</f>
        <v/>
      </c>
      <c r="R15" s="5" t="str">
        <f aca="false">IF($C15=Q$1,$F15,"")</f>
        <v/>
      </c>
      <c r="S15" s="6" t="str">
        <f aca="false">IF($C15=S$1,$K15,"")</f>
        <v/>
      </c>
      <c r="T15" s="5" t="str">
        <f aca="false">IF($C15=S$1,$F15,"")</f>
        <v/>
      </c>
      <c r="U15" s="6" t="str">
        <f aca="false">IF($C15=U$1,$K15,"")</f>
        <v/>
      </c>
      <c r="V15" s="5" t="str">
        <f aca="false">IF($C15=U$1,$F15,"")</f>
        <v/>
      </c>
      <c r="W15" s="6" t="str">
        <f aca="false">IF($C15=W$1,$K15,"")</f>
        <v/>
      </c>
      <c r="X15" s="5" t="str">
        <f aca="false">IF($C15=W$1,$F15,"")</f>
        <v/>
      </c>
      <c r="Y15" s="6" t="str">
        <f aca="false">IF($C15=Y$1,$K15,"")</f>
        <v/>
      </c>
      <c r="Z15" s="5" t="str">
        <f aca="false">IF($C15=Y$1,$F15,"")</f>
        <v/>
      </c>
      <c r="AA15" s="6" t="str">
        <f aca="false">IF($C15=AA$1,$K15,"")</f>
        <v/>
      </c>
      <c r="AB15" s="5" t="str">
        <f aca="false">IF($C15=AA$1,$F15,"")</f>
        <v/>
      </c>
      <c r="AC15" s="6" t="str">
        <f aca="false">IF($C15=AC$1,$K15,"")</f>
        <v/>
      </c>
      <c r="AD15" s="5" t="str">
        <f aca="false">IF($C15=AC$1,$F15,"")</f>
        <v/>
      </c>
      <c r="AE15" s="6" t="str">
        <f aca="false">IF($C15=AE$1,$K15,"")</f>
        <v/>
      </c>
      <c r="AF15" s="5" t="str">
        <f aca="false">IF($C15=AE$1,$F15,"")</f>
        <v/>
      </c>
      <c r="AG15" s="6" t="str">
        <f aca="false">IF($C15=AG$1,$K15,"")</f>
        <v/>
      </c>
      <c r="AH15" s="5" t="str">
        <f aca="false">IF($C15=AG$1,$F15,"")</f>
        <v/>
      </c>
      <c r="AI15" s="6" t="str">
        <f aca="false">IF($C15=AI$1,$K15,"")</f>
        <v/>
      </c>
      <c r="AJ15" s="5" t="str">
        <f aca="false">IF($C15=AI$1,$F15,"")</f>
        <v/>
      </c>
      <c r="AK15" s="6" t="str">
        <f aca="false">IF($C15=AK$1,$K15,"")</f>
        <v/>
      </c>
      <c r="AL15" s="5" t="str">
        <f aca="false">IF($C15=AK$1,$F15,"")</f>
        <v/>
      </c>
      <c r="AM15" s="6" t="str">
        <f aca="false">IF($C15=AM$1,$K15,"")</f>
        <v/>
      </c>
      <c r="AN15" s="5" t="str">
        <f aca="false">IF($C15=AM$1,$F15,"")</f>
        <v/>
      </c>
      <c r="AO15" s="6" t="n">
        <f aca="false">IF($C15=AO$1,$K15,"")</f>
        <v>20698.05</v>
      </c>
      <c r="AP15" s="5" t="n">
        <f aca="false">IF($C15=AO$1,$F15,"")</f>
        <v>32.09</v>
      </c>
      <c r="AQ15" s="5" t="n">
        <f aca="false">IF($F15="",0,IF($D15=AQ$1,$F15,0))</f>
        <v>0</v>
      </c>
      <c r="AR15" s="6" t="n">
        <f aca="false">IF($D15=AQ$1,N($K15)-N($L15)-N($O15),0)</f>
        <v>0</v>
      </c>
      <c r="AS15" s="5" t="n">
        <f aca="false">IF($F15="",0,IF($D15=AS$1,$F15,0))</f>
        <v>32.09</v>
      </c>
      <c r="AT15" s="6" t="n">
        <f aca="false">IF($D15=AS$1,N($K15)-N($L15)-N($O15),0)</f>
        <v>1128.05</v>
      </c>
      <c r="AU15" s="5" t="n">
        <f aca="false">IF(N($J15)&gt;0,N($F15),0)</f>
        <v>32.09</v>
      </c>
      <c r="AV15" s="6" t="n">
        <f aca="false">IF(N($J15)&gt;0,$F15*$J15,0)</f>
        <v>641.8</v>
      </c>
    </row>
    <row r="16" customFormat="false" ht="15" hidden="false" customHeight="false" outlineLevel="0" collapsed="false">
      <c r="A16" s="16" t="n">
        <v>45978</v>
      </c>
      <c r="B16" s="4" t="s">
        <v>232</v>
      </c>
      <c r="C16" s="4" t="s">
        <v>27</v>
      </c>
      <c r="D16" s="4" t="s">
        <v>68</v>
      </c>
      <c r="E16" s="4" t="n">
        <f aca="false">E15+1</f>
        <v>14</v>
      </c>
      <c r="F16" s="5" t="n">
        <v>31.75</v>
      </c>
      <c r="G16" s="6" t="n">
        <v>610</v>
      </c>
      <c r="H16" s="6" t="n">
        <v>645</v>
      </c>
      <c r="I16" s="6" t="n">
        <v>0</v>
      </c>
      <c r="J16" s="6" t="n">
        <v>20</v>
      </c>
      <c r="K16" s="6" t="n">
        <f aca="false">IF($F16="","",$F16*$H16)</f>
        <v>20478.75</v>
      </c>
      <c r="L16" s="6" t="n">
        <f aca="false">IFERROR(ROUND($F16*$G16,-1),"")</f>
        <v>19370</v>
      </c>
      <c r="M16" s="4"/>
      <c r="N16" s="5" t="n">
        <f aca="false">IF($F16="","",IF(N($I16)&gt;0,$F16,0))</f>
        <v>0</v>
      </c>
      <c r="O16" s="6" t="n">
        <f aca="false">IF($F16="","",N($N16)*N($I16))</f>
        <v>0</v>
      </c>
      <c r="P16" s="6" t="str">
        <f aca="false">IF(OR($C16=P$1,$C16="Titan Rocks"),$K16,"")</f>
        <v/>
      </c>
      <c r="Q16" s="6" t="str">
        <f aca="false">IF($C16=Q$1,$K16,"")</f>
        <v/>
      </c>
      <c r="R16" s="5" t="str">
        <f aca="false">IF($C16=Q$1,$F16,"")</f>
        <v/>
      </c>
      <c r="S16" s="6" t="str">
        <f aca="false">IF($C16=S$1,$K16,"")</f>
        <v/>
      </c>
      <c r="T16" s="5" t="str">
        <f aca="false">IF($C16=S$1,$F16,"")</f>
        <v/>
      </c>
      <c r="U16" s="6" t="str">
        <f aca="false">IF($C16=U$1,$K16,"")</f>
        <v/>
      </c>
      <c r="V16" s="5" t="str">
        <f aca="false">IF($C16=U$1,$F16,"")</f>
        <v/>
      </c>
      <c r="W16" s="6" t="str">
        <f aca="false">IF($C16=W$1,$K16,"")</f>
        <v/>
      </c>
      <c r="X16" s="5" t="str">
        <f aca="false">IF($C16=W$1,$F16,"")</f>
        <v/>
      </c>
      <c r="Y16" s="6" t="str">
        <f aca="false">IF($C16=Y$1,$K16,"")</f>
        <v/>
      </c>
      <c r="Z16" s="5" t="str">
        <f aca="false">IF($C16=Y$1,$F16,"")</f>
        <v/>
      </c>
      <c r="AA16" s="6" t="str">
        <f aca="false">IF($C16=AA$1,$K16,"")</f>
        <v/>
      </c>
      <c r="AB16" s="5" t="str">
        <f aca="false">IF($C16=AA$1,$F16,"")</f>
        <v/>
      </c>
      <c r="AC16" s="6" t="str">
        <f aca="false">IF($C16=AC$1,$K16,"")</f>
        <v/>
      </c>
      <c r="AD16" s="5" t="str">
        <f aca="false">IF($C16=AC$1,$F16,"")</f>
        <v/>
      </c>
      <c r="AE16" s="6" t="str">
        <f aca="false">IF($C16=AE$1,$K16,"")</f>
        <v/>
      </c>
      <c r="AF16" s="5" t="str">
        <f aca="false">IF($C16=AE$1,$F16,"")</f>
        <v/>
      </c>
      <c r="AG16" s="6" t="str">
        <f aca="false">IF($C16=AG$1,$K16,"")</f>
        <v/>
      </c>
      <c r="AH16" s="5" t="str">
        <f aca="false">IF($C16=AG$1,$F16,"")</f>
        <v/>
      </c>
      <c r="AI16" s="6" t="str">
        <f aca="false">IF($C16=AI$1,$K16,"")</f>
        <v/>
      </c>
      <c r="AJ16" s="5" t="str">
        <f aca="false">IF($C16=AI$1,$F16,"")</f>
        <v/>
      </c>
      <c r="AK16" s="6" t="str">
        <f aca="false">IF($C16=AK$1,$K16,"")</f>
        <v/>
      </c>
      <c r="AL16" s="5" t="str">
        <f aca="false">IF($C16=AK$1,$F16,"")</f>
        <v/>
      </c>
      <c r="AM16" s="6" t="str">
        <f aca="false">IF($C16=AM$1,$K16,"")</f>
        <v/>
      </c>
      <c r="AN16" s="5" t="str">
        <f aca="false">IF($C16=AM$1,$F16,"")</f>
        <v/>
      </c>
      <c r="AO16" s="6" t="n">
        <f aca="false">IF($C16=AO$1,$K16,"")</f>
        <v>20478.75</v>
      </c>
      <c r="AP16" s="5" t="n">
        <f aca="false">IF($C16=AO$1,$F16,"")</f>
        <v>31.75</v>
      </c>
      <c r="AQ16" s="5" t="n">
        <f aca="false">IF($F16="",0,IF($D16=AQ$1,$F16,0))</f>
        <v>0</v>
      </c>
      <c r="AR16" s="6" t="n">
        <f aca="false">IF($D16=AQ$1,N($K16)-N($L16)-N($O16),0)</f>
        <v>0</v>
      </c>
      <c r="AS16" s="5" t="n">
        <f aca="false">IF($F16="",0,IF($D16=AS$1,$F16,0))</f>
        <v>31.75</v>
      </c>
      <c r="AT16" s="6" t="n">
        <f aca="false">IF($D16=AS$1,N($K16)-N($L16)-N($O16),0)</f>
        <v>1108.75</v>
      </c>
      <c r="AU16" s="5" t="n">
        <f aca="false">IF(N($J16)&gt;0,N($F16),0)</f>
        <v>31.75</v>
      </c>
      <c r="AV16" s="6" t="n">
        <f aca="false">IF(N($J16)&gt;0,$F16*$J16,0)</f>
        <v>635</v>
      </c>
    </row>
    <row r="17" customFormat="false" ht="15" hidden="false" customHeight="false" outlineLevel="0" collapsed="false">
      <c r="A17" s="16" t="n">
        <v>45981</v>
      </c>
      <c r="B17" s="4" t="s">
        <v>232</v>
      </c>
      <c r="C17" s="4" t="s">
        <v>27</v>
      </c>
      <c r="D17" s="4" t="s">
        <v>67</v>
      </c>
      <c r="E17" s="4" t="n">
        <f aca="false">E16+1</f>
        <v>15</v>
      </c>
      <c r="F17" s="5" t="n">
        <v>31.09</v>
      </c>
      <c r="G17" s="6" t="n">
        <v>640</v>
      </c>
      <c r="H17" s="6" t="n">
        <v>645</v>
      </c>
      <c r="I17" s="6" t="n">
        <v>0</v>
      </c>
      <c r="J17" s="6" t="n">
        <v>20</v>
      </c>
      <c r="K17" s="6" t="n">
        <f aca="false">IF($F17="","",$F17*$H17)</f>
        <v>20053.05</v>
      </c>
      <c r="L17" s="6" t="n">
        <f aca="false">IFERROR(ROUND($F17*$G17,-1),"")</f>
        <v>19900</v>
      </c>
      <c r="M17" s="4"/>
      <c r="N17" s="5" t="n">
        <f aca="false">IF($F17="","",IF(N($I17)&gt;0,$F17,0))</f>
        <v>0</v>
      </c>
      <c r="O17" s="6" t="n">
        <f aca="false">IF($F17="","",N($N17)*N($I17))</f>
        <v>0</v>
      </c>
      <c r="P17" s="6" t="str">
        <f aca="false">IF(OR($C17=P$1,$C17="Titan Rocks"),$K17,"")</f>
        <v/>
      </c>
      <c r="Q17" s="6" t="str">
        <f aca="false">IF($C17=Q$1,$K17,"")</f>
        <v/>
      </c>
      <c r="R17" s="5" t="str">
        <f aca="false">IF($C17=Q$1,$F17,"")</f>
        <v/>
      </c>
      <c r="S17" s="6" t="str">
        <f aca="false">IF($C17=S$1,$K17,"")</f>
        <v/>
      </c>
      <c r="T17" s="5" t="str">
        <f aca="false">IF($C17=S$1,$F17,"")</f>
        <v/>
      </c>
      <c r="U17" s="6" t="str">
        <f aca="false">IF($C17=U$1,$K17,"")</f>
        <v/>
      </c>
      <c r="V17" s="5" t="str">
        <f aca="false">IF($C17=U$1,$F17,"")</f>
        <v/>
      </c>
      <c r="W17" s="6" t="str">
        <f aca="false">IF($C17=W$1,$K17,"")</f>
        <v/>
      </c>
      <c r="X17" s="5" t="str">
        <f aca="false">IF($C17=W$1,$F17,"")</f>
        <v/>
      </c>
      <c r="Y17" s="6" t="str">
        <f aca="false">IF($C17=Y$1,$K17,"")</f>
        <v/>
      </c>
      <c r="Z17" s="5" t="str">
        <f aca="false">IF($C17=Y$1,$F17,"")</f>
        <v/>
      </c>
      <c r="AA17" s="6" t="str">
        <f aca="false">IF($C17=AA$1,$K17,"")</f>
        <v/>
      </c>
      <c r="AB17" s="5" t="str">
        <f aca="false">IF($C17=AA$1,$F17,"")</f>
        <v/>
      </c>
      <c r="AC17" s="6" t="str">
        <f aca="false">IF($C17=AC$1,$K17,"")</f>
        <v/>
      </c>
      <c r="AD17" s="5" t="str">
        <f aca="false">IF($C17=AC$1,$F17,"")</f>
        <v/>
      </c>
      <c r="AE17" s="6" t="str">
        <f aca="false">IF($C17=AE$1,$K17,"")</f>
        <v/>
      </c>
      <c r="AF17" s="5" t="str">
        <f aca="false">IF($C17=AE$1,$F17,"")</f>
        <v/>
      </c>
      <c r="AG17" s="6" t="str">
        <f aca="false">IF($C17=AG$1,$K17,"")</f>
        <v/>
      </c>
      <c r="AH17" s="5" t="str">
        <f aca="false">IF($C17=AG$1,$F17,"")</f>
        <v/>
      </c>
      <c r="AI17" s="6" t="str">
        <f aca="false">IF($C17=AI$1,$K17,"")</f>
        <v/>
      </c>
      <c r="AJ17" s="5" t="str">
        <f aca="false">IF($C17=AI$1,$F17,"")</f>
        <v/>
      </c>
      <c r="AK17" s="6" t="str">
        <f aca="false">IF($C17=AK$1,$K17,"")</f>
        <v/>
      </c>
      <c r="AL17" s="5" t="str">
        <f aca="false">IF($C17=AK$1,$F17,"")</f>
        <v/>
      </c>
      <c r="AM17" s="6" t="str">
        <f aca="false">IF($C17=AM$1,$K17,"")</f>
        <v/>
      </c>
      <c r="AN17" s="5" t="str">
        <f aca="false">IF($C17=AM$1,$F17,"")</f>
        <v/>
      </c>
      <c r="AO17" s="6" t="n">
        <f aca="false">IF($C17=AO$1,$K17,"")</f>
        <v>20053.05</v>
      </c>
      <c r="AP17" s="5" t="n">
        <f aca="false">IF($C17=AO$1,$F17,"")</f>
        <v>31.09</v>
      </c>
      <c r="AQ17" s="5" t="n">
        <f aca="false">IF($F17="",0,IF($D17=AQ$1,$F17,0))</f>
        <v>31.09</v>
      </c>
      <c r="AR17" s="6" t="n">
        <f aca="false">IF($D17=AQ$1,N($K17)-N($L17)-N($O17),0)</f>
        <v>153.049999999999</v>
      </c>
      <c r="AS17" s="5" t="n">
        <f aca="false">IF($F17="",0,IF($D17=AS$1,$F17,0))</f>
        <v>0</v>
      </c>
      <c r="AT17" s="6" t="n">
        <f aca="false">IF($D17=AS$1,N($K17)-N($L17)-N($O17),0)</f>
        <v>0</v>
      </c>
      <c r="AU17" s="5" t="n">
        <f aca="false">IF(N($J17)&gt;0,N($F17),0)</f>
        <v>31.09</v>
      </c>
      <c r="AV17" s="6" t="n">
        <f aca="false">IF(N($J17)&gt;0,$F17*$J17,0)</f>
        <v>621.8</v>
      </c>
    </row>
    <row r="18" customFormat="false" ht="15" hidden="false" customHeight="false" outlineLevel="0" collapsed="false">
      <c r="A18" s="16" t="n">
        <v>45981</v>
      </c>
      <c r="B18" s="4" t="s">
        <v>232</v>
      </c>
      <c r="C18" s="4" t="s">
        <v>27</v>
      </c>
      <c r="D18" s="4" t="s">
        <v>68</v>
      </c>
      <c r="E18" s="4" t="n">
        <f aca="false">E17+1</f>
        <v>16</v>
      </c>
      <c r="F18" s="5" t="n">
        <v>30.88</v>
      </c>
      <c r="G18" s="6" t="n">
        <v>610</v>
      </c>
      <c r="H18" s="6" t="n">
        <v>645</v>
      </c>
      <c r="I18" s="6" t="n">
        <v>0</v>
      </c>
      <c r="J18" s="6" t="n">
        <v>20</v>
      </c>
      <c r="K18" s="6" t="n">
        <f aca="false">IF($F18="","",$F18*$H18)</f>
        <v>19917.6</v>
      </c>
      <c r="L18" s="6" t="n">
        <f aca="false">IFERROR(ROUND($F18*$G18,-1),"")</f>
        <v>18840</v>
      </c>
      <c r="M18" s="4"/>
      <c r="N18" s="5" t="n">
        <f aca="false">IF($F18="","",IF(N($I18)&gt;0,$F18,0))</f>
        <v>0</v>
      </c>
      <c r="O18" s="6" t="n">
        <f aca="false">IF($F18="","",N($N18)*N($I18))</f>
        <v>0</v>
      </c>
      <c r="P18" s="6" t="str">
        <f aca="false">IF(OR($C18=P$1,$C18="Titan Rocks"),$K18,"")</f>
        <v/>
      </c>
      <c r="Q18" s="6" t="str">
        <f aca="false">IF($C18=Q$1,$K18,"")</f>
        <v/>
      </c>
      <c r="R18" s="5" t="str">
        <f aca="false">IF($C18=Q$1,$F18,"")</f>
        <v/>
      </c>
      <c r="S18" s="6" t="str">
        <f aca="false">IF($C18=S$1,$K18,"")</f>
        <v/>
      </c>
      <c r="T18" s="5" t="str">
        <f aca="false">IF($C18=S$1,$F18,"")</f>
        <v/>
      </c>
      <c r="U18" s="6" t="str">
        <f aca="false">IF($C18=U$1,$K18,"")</f>
        <v/>
      </c>
      <c r="V18" s="5" t="str">
        <f aca="false">IF($C18=U$1,$F18,"")</f>
        <v/>
      </c>
      <c r="W18" s="6" t="str">
        <f aca="false">IF($C18=W$1,$K18,"")</f>
        <v/>
      </c>
      <c r="X18" s="5" t="str">
        <f aca="false">IF($C18=W$1,$F18,"")</f>
        <v/>
      </c>
      <c r="Y18" s="6" t="str">
        <f aca="false">IF($C18=Y$1,$K18,"")</f>
        <v/>
      </c>
      <c r="Z18" s="5" t="str">
        <f aca="false">IF($C18=Y$1,$F18,"")</f>
        <v/>
      </c>
      <c r="AA18" s="6" t="str">
        <f aca="false">IF($C18=AA$1,$K18,"")</f>
        <v/>
      </c>
      <c r="AB18" s="5" t="str">
        <f aca="false">IF($C18=AA$1,$F18,"")</f>
        <v/>
      </c>
      <c r="AC18" s="6" t="str">
        <f aca="false">IF($C18=AC$1,$K18,"")</f>
        <v/>
      </c>
      <c r="AD18" s="5" t="str">
        <f aca="false">IF($C18=AC$1,$F18,"")</f>
        <v/>
      </c>
      <c r="AE18" s="6" t="str">
        <f aca="false">IF($C18=AE$1,$K18,"")</f>
        <v/>
      </c>
      <c r="AF18" s="5" t="str">
        <f aca="false">IF($C18=AE$1,$F18,"")</f>
        <v/>
      </c>
      <c r="AG18" s="6" t="str">
        <f aca="false">IF($C18=AG$1,$K18,"")</f>
        <v/>
      </c>
      <c r="AH18" s="5" t="str">
        <f aca="false">IF($C18=AG$1,$F18,"")</f>
        <v/>
      </c>
      <c r="AI18" s="6" t="str">
        <f aca="false">IF($C18=AI$1,$K18,"")</f>
        <v/>
      </c>
      <c r="AJ18" s="5" t="str">
        <f aca="false">IF($C18=AI$1,$F18,"")</f>
        <v/>
      </c>
      <c r="AK18" s="6" t="str">
        <f aca="false">IF($C18=AK$1,$K18,"")</f>
        <v/>
      </c>
      <c r="AL18" s="5" t="str">
        <f aca="false">IF($C18=AK$1,$F18,"")</f>
        <v/>
      </c>
      <c r="AM18" s="6" t="str">
        <f aca="false">IF($C18=AM$1,$K18,"")</f>
        <v/>
      </c>
      <c r="AN18" s="5" t="str">
        <f aca="false">IF($C18=AM$1,$F18,"")</f>
        <v/>
      </c>
      <c r="AO18" s="6" t="n">
        <f aca="false">IF($C18=AO$1,$K18,"")</f>
        <v>19917.6</v>
      </c>
      <c r="AP18" s="5" t="n">
        <f aca="false">IF($C18=AO$1,$F18,"")</f>
        <v>30.88</v>
      </c>
      <c r="AQ18" s="5" t="n">
        <f aca="false">IF($F18="",0,IF($D18=AQ$1,$F18,0))</f>
        <v>0</v>
      </c>
      <c r="AR18" s="6" t="n">
        <f aca="false">IF($D18=AQ$1,N($K18)-N($L18)-N($O18),0)</f>
        <v>0</v>
      </c>
      <c r="AS18" s="5" t="n">
        <f aca="false">IF($F18="",0,IF($D18=AS$1,$F18,0))</f>
        <v>30.88</v>
      </c>
      <c r="AT18" s="6" t="n">
        <f aca="false">IF($D18=AS$1,N($K18)-N($L18)-N($O18),0)</f>
        <v>1077.6</v>
      </c>
      <c r="AU18" s="5" t="n">
        <f aca="false">IF(N($J18)&gt;0,N($F18),0)</f>
        <v>30.88</v>
      </c>
      <c r="AV18" s="6" t="n">
        <f aca="false">IF(N($J18)&gt;0,$F18*$J18,0)</f>
        <v>617.6</v>
      </c>
    </row>
    <row r="19" customFormat="false" ht="15" hidden="false" customHeight="false" outlineLevel="0" collapsed="false">
      <c r="A19" s="16" t="n">
        <v>45981</v>
      </c>
      <c r="B19" s="4" t="s">
        <v>232</v>
      </c>
      <c r="C19" s="4" t="s">
        <v>27</v>
      </c>
      <c r="D19" s="4" t="s">
        <v>68</v>
      </c>
      <c r="E19" s="4" t="n">
        <f aca="false">E18+1</f>
        <v>17</v>
      </c>
      <c r="F19" s="5" t="n">
        <v>32.57</v>
      </c>
      <c r="G19" s="6" t="n">
        <v>610</v>
      </c>
      <c r="H19" s="6" t="n">
        <v>645</v>
      </c>
      <c r="I19" s="6" t="n">
        <v>0</v>
      </c>
      <c r="J19" s="6" t="n">
        <v>20</v>
      </c>
      <c r="K19" s="6" t="n">
        <f aca="false">IF($F19="","",$F19*$H19)</f>
        <v>21007.65</v>
      </c>
      <c r="L19" s="6" t="n">
        <f aca="false">IFERROR(ROUND($F19*$G19,-1),"")</f>
        <v>19870</v>
      </c>
      <c r="M19" s="4"/>
      <c r="N19" s="5" t="n">
        <f aca="false">IF($F19="","",IF(N($I19)&gt;0,$F19,0))</f>
        <v>0</v>
      </c>
      <c r="O19" s="6" t="n">
        <f aca="false">IF($F19="","",N($N19)*N($I19))</f>
        <v>0</v>
      </c>
      <c r="P19" s="6" t="str">
        <f aca="false">IF(OR($C19=P$1,$C19="Titan Rocks"),$K19,"")</f>
        <v/>
      </c>
      <c r="Q19" s="6" t="str">
        <f aca="false">IF($C19=Q$1,$K19,"")</f>
        <v/>
      </c>
      <c r="R19" s="5" t="str">
        <f aca="false">IF($C19=Q$1,$F19,"")</f>
        <v/>
      </c>
      <c r="S19" s="6" t="str">
        <f aca="false">IF($C19=S$1,$K19,"")</f>
        <v/>
      </c>
      <c r="T19" s="5" t="str">
        <f aca="false">IF($C19=S$1,$F19,"")</f>
        <v/>
      </c>
      <c r="U19" s="6" t="str">
        <f aca="false">IF($C19=U$1,$K19,"")</f>
        <v/>
      </c>
      <c r="V19" s="5" t="str">
        <f aca="false">IF($C19=U$1,$F19,"")</f>
        <v/>
      </c>
      <c r="W19" s="6" t="str">
        <f aca="false">IF($C19=W$1,$K19,"")</f>
        <v/>
      </c>
      <c r="X19" s="5" t="str">
        <f aca="false">IF($C19=W$1,$F19,"")</f>
        <v/>
      </c>
      <c r="Y19" s="6" t="str">
        <f aca="false">IF($C19=Y$1,$K19,"")</f>
        <v/>
      </c>
      <c r="Z19" s="5" t="str">
        <f aca="false">IF($C19=Y$1,$F19,"")</f>
        <v/>
      </c>
      <c r="AA19" s="6" t="str">
        <f aca="false">IF($C19=AA$1,$K19,"")</f>
        <v/>
      </c>
      <c r="AB19" s="5" t="str">
        <f aca="false">IF($C19=AA$1,$F19,"")</f>
        <v/>
      </c>
      <c r="AC19" s="6" t="str">
        <f aca="false">IF($C19=AC$1,$K19,"")</f>
        <v/>
      </c>
      <c r="AD19" s="5" t="str">
        <f aca="false">IF($C19=AC$1,$F19,"")</f>
        <v/>
      </c>
      <c r="AE19" s="6" t="str">
        <f aca="false">IF($C19=AE$1,$K19,"")</f>
        <v/>
      </c>
      <c r="AF19" s="5" t="str">
        <f aca="false">IF($C19=AE$1,$F19,"")</f>
        <v/>
      </c>
      <c r="AG19" s="6" t="str">
        <f aca="false">IF($C19=AG$1,$K19,"")</f>
        <v/>
      </c>
      <c r="AH19" s="5" t="str">
        <f aca="false">IF($C19=AG$1,$F19,"")</f>
        <v/>
      </c>
      <c r="AI19" s="6" t="str">
        <f aca="false">IF($C19=AI$1,$K19,"")</f>
        <v/>
      </c>
      <c r="AJ19" s="5" t="str">
        <f aca="false">IF($C19=AI$1,$F19,"")</f>
        <v/>
      </c>
      <c r="AK19" s="6" t="str">
        <f aca="false">IF($C19=AK$1,$K19,"")</f>
        <v/>
      </c>
      <c r="AL19" s="5" t="str">
        <f aca="false">IF($C19=AK$1,$F19,"")</f>
        <v/>
      </c>
      <c r="AM19" s="6" t="str">
        <f aca="false">IF($C19=AM$1,$K19,"")</f>
        <v/>
      </c>
      <c r="AN19" s="5" t="str">
        <f aca="false">IF($C19=AM$1,$F19,"")</f>
        <v/>
      </c>
      <c r="AO19" s="6" t="n">
        <f aca="false">IF($C19=AO$1,$K19,"")</f>
        <v>21007.65</v>
      </c>
      <c r="AP19" s="5" t="n">
        <f aca="false">IF($C19=AO$1,$F19,"")</f>
        <v>32.57</v>
      </c>
      <c r="AQ19" s="5" t="n">
        <f aca="false">IF($F19="",0,IF($D19=AQ$1,$F19,0))</f>
        <v>0</v>
      </c>
      <c r="AR19" s="6" t="n">
        <f aca="false">IF($D19=AQ$1,N($K19)-N($L19)-N($O19),0)</f>
        <v>0</v>
      </c>
      <c r="AS19" s="5" t="n">
        <f aca="false">IF($F19="",0,IF($D19=AS$1,$F19,0))</f>
        <v>32.57</v>
      </c>
      <c r="AT19" s="6" t="n">
        <f aca="false">IF($D19=AS$1,N($K19)-N($L19)-N($O19),0)</f>
        <v>1137.65</v>
      </c>
      <c r="AU19" s="5" t="n">
        <f aca="false">IF(N($J19)&gt;0,N($F19),0)</f>
        <v>32.57</v>
      </c>
      <c r="AV19" s="6" t="n">
        <f aca="false">IF(N($J19)&gt;0,$F19*$J19,0)</f>
        <v>651.4</v>
      </c>
    </row>
    <row r="20" customFormat="false" ht="15" hidden="false" customHeight="false" outlineLevel="0" collapsed="false">
      <c r="A20" s="16" t="n">
        <v>45981</v>
      </c>
      <c r="B20" s="4" t="s">
        <v>232</v>
      </c>
      <c r="C20" s="4" t="s">
        <v>27</v>
      </c>
      <c r="D20" s="4" t="s">
        <v>67</v>
      </c>
      <c r="E20" s="4" t="n">
        <f aca="false">E19+1</f>
        <v>18</v>
      </c>
      <c r="F20" s="5" t="n">
        <v>32.43</v>
      </c>
      <c r="G20" s="6" t="n">
        <v>640</v>
      </c>
      <c r="H20" s="6" t="n">
        <v>645</v>
      </c>
      <c r="I20" s="6" t="n">
        <v>0</v>
      </c>
      <c r="J20" s="6" t="n">
        <v>20</v>
      </c>
      <c r="K20" s="6" t="n">
        <f aca="false">IF($F20="","",$F20*$H20)</f>
        <v>20917.35</v>
      </c>
      <c r="L20" s="6" t="n">
        <f aca="false">IFERROR(ROUND($F20*$G20,-1),"")</f>
        <v>20760</v>
      </c>
      <c r="M20" s="4"/>
      <c r="N20" s="5" t="n">
        <f aca="false">IF($F20="","",IF(N($I20)&gt;0,$F20,0))</f>
        <v>0</v>
      </c>
      <c r="O20" s="6" t="n">
        <f aca="false">IF($F20="","",N($N20)*N($I20))</f>
        <v>0</v>
      </c>
      <c r="P20" s="6" t="str">
        <f aca="false">IF(OR($C20=P$1,$C20="Titan Rocks"),$K20,"")</f>
        <v/>
      </c>
      <c r="Q20" s="6" t="str">
        <f aca="false">IF($C20=Q$1,$K20,"")</f>
        <v/>
      </c>
      <c r="R20" s="5" t="str">
        <f aca="false">IF($C20=Q$1,$F20,"")</f>
        <v/>
      </c>
      <c r="S20" s="6" t="str">
        <f aca="false">IF($C20=S$1,$K20,"")</f>
        <v/>
      </c>
      <c r="T20" s="5" t="str">
        <f aca="false">IF($C20=S$1,$F20,"")</f>
        <v/>
      </c>
      <c r="U20" s="6" t="str">
        <f aca="false">IF($C20=U$1,$K20,"")</f>
        <v/>
      </c>
      <c r="V20" s="5" t="str">
        <f aca="false">IF($C20=U$1,$F20,"")</f>
        <v/>
      </c>
      <c r="W20" s="6" t="str">
        <f aca="false">IF($C20=W$1,$K20,"")</f>
        <v/>
      </c>
      <c r="X20" s="5" t="str">
        <f aca="false">IF($C20=W$1,$F20,"")</f>
        <v/>
      </c>
      <c r="Y20" s="6" t="str">
        <f aca="false">IF($C20=Y$1,$K20,"")</f>
        <v/>
      </c>
      <c r="Z20" s="5" t="str">
        <f aca="false">IF($C20=Y$1,$F20,"")</f>
        <v/>
      </c>
      <c r="AA20" s="6" t="str">
        <f aca="false">IF($C20=AA$1,$K20,"")</f>
        <v/>
      </c>
      <c r="AB20" s="5" t="str">
        <f aca="false">IF($C20=AA$1,$F20,"")</f>
        <v/>
      </c>
      <c r="AC20" s="6" t="str">
        <f aca="false">IF($C20=AC$1,$K20,"")</f>
        <v/>
      </c>
      <c r="AD20" s="5" t="str">
        <f aca="false">IF($C20=AC$1,$F20,"")</f>
        <v/>
      </c>
      <c r="AE20" s="6" t="str">
        <f aca="false">IF($C20=AE$1,$K20,"")</f>
        <v/>
      </c>
      <c r="AF20" s="5" t="str">
        <f aca="false">IF($C20=AE$1,$F20,"")</f>
        <v/>
      </c>
      <c r="AG20" s="6" t="str">
        <f aca="false">IF($C20=AG$1,$K20,"")</f>
        <v/>
      </c>
      <c r="AH20" s="5" t="str">
        <f aca="false">IF($C20=AG$1,$F20,"")</f>
        <v/>
      </c>
      <c r="AI20" s="6" t="str">
        <f aca="false">IF($C20=AI$1,$K20,"")</f>
        <v/>
      </c>
      <c r="AJ20" s="5" t="str">
        <f aca="false">IF($C20=AI$1,$F20,"")</f>
        <v/>
      </c>
      <c r="AK20" s="6" t="str">
        <f aca="false">IF($C20=AK$1,$K20,"")</f>
        <v/>
      </c>
      <c r="AL20" s="5" t="str">
        <f aca="false">IF($C20=AK$1,$F20,"")</f>
        <v/>
      </c>
      <c r="AM20" s="6" t="str">
        <f aca="false">IF($C20=AM$1,$K20,"")</f>
        <v/>
      </c>
      <c r="AN20" s="5" t="str">
        <f aca="false">IF($C20=AM$1,$F20,"")</f>
        <v/>
      </c>
      <c r="AO20" s="6" t="n">
        <f aca="false">IF($C20=AO$1,$K20,"")</f>
        <v>20917.35</v>
      </c>
      <c r="AP20" s="5" t="n">
        <f aca="false">IF($C20=AO$1,$F20,"")</f>
        <v>32.43</v>
      </c>
      <c r="AQ20" s="5" t="n">
        <f aca="false">IF($F20="",0,IF($D20=AQ$1,$F20,0))</f>
        <v>32.43</v>
      </c>
      <c r="AR20" s="6" t="n">
        <f aca="false">IF($D20=AQ$1,N($K20)-N($L20)-N($O20),0)</f>
        <v>157.349999999999</v>
      </c>
      <c r="AS20" s="5" t="n">
        <f aca="false">IF($F20="",0,IF($D20=AS$1,$F20,0))</f>
        <v>0</v>
      </c>
      <c r="AT20" s="6" t="n">
        <f aca="false">IF($D20=AS$1,N($K20)-N($L20)-N($O20),0)</f>
        <v>0</v>
      </c>
      <c r="AU20" s="5" t="n">
        <f aca="false">IF(N($J20)&gt;0,N($F20),0)</f>
        <v>32.43</v>
      </c>
      <c r="AV20" s="6" t="n">
        <f aca="false">IF(N($J20)&gt;0,$F20*$J20,0)</f>
        <v>648.6</v>
      </c>
    </row>
    <row r="21" customFormat="false" ht="15" hidden="false" customHeight="false" outlineLevel="0" collapsed="false">
      <c r="A21" s="16" t="n">
        <v>45981</v>
      </c>
      <c r="B21" s="4" t="s">
        <v>232</v>
      </c>
      <c r="C21" s="4" t="s">
        <v>27</v>
      </c>
      <c r="D21" s="4" t="s">
        <v>68</v>
      </c>
      <c r="E21" s="4" t="n">
        <f aca="false">E20+1</f>
        <v>19</v>
      </c>
      <c r="F21" s="5" t="n">
        <v>32.35</v>
      </c>
      <c r="G21" s="6" t="n">
        <v>610</v>
      </c>
      <c r="H21" s="6" t="n">
        <v>645</v>
      </c>
      <c r="I21" s="6" t="n">
        <v>0</v>
      </c>
      <c r="J21" s="6" t="n">
        <v>20</v>
      </c>
      <c r="K21" s="6" t="n">
        <f aca="false">IF($F21="","",$F21*$H21)</f>
        <v>20865.75</v>
      </c>
      <c r="L21" s="6" t="n">
        <f aca="false">IFERROR(ROUND($F21*$G21,-1),"")</f>
        <v>19730</v>
      </c>
      <c r="M21" s="4"/>
      <c r="N21" s="5" t="n">
        <f aca="false">IF($F21="","",IF(N($I21)&gt;0,$F21,0))</f>
        <v>0</v>
      </c>
      <c r="O21" s="6" t="n">
        <f aca="false">IF($F21="","",N($N21)*N($I21))</f>
        <v>0</v>
      </c>
      <c r="P21" s="6" t="str">
        <f aca="false">IF(OR($C21=P$1,$C21="Titan Rocks"),$K21,"")</f>
        <v/>
      </c>
      <c r="Q21" s="6" t="str">
        <f aca="false">IF($C21=Q$1,$K21,"")</f>
        <v/>
      </c>
      <c r="R21" s="5" t="str">
        <f aca="false">IF($C21=Q$1,$F21,"")</f>
        <v/>
      </c>
      <c r="S21" s="6" t="str">
        <f aca="false">IF($C21=S$1,$K21,"")</f>
        <v/>
      </c>
      <c r="T21" s="5" t="str">
        <f aca="false">IF($C21=S$1,$F21,"")</f>
        <v/>
      </c>
      <c r="U21" s="6" t="str">
        <f aca="false">IF($C21=U$1,$K21,"")</f>
        <v/>
      </c>
      <c r="V21" s="5" t="str">
        <f aca="false">IF($C21=U$1,$F21,"")</f>
        <v/>
      </c>
      <c r="W21" s="6" t="str">
        <f aca="false">IF($C21=W$1,$K21,"")</f>
        <v/>
      </c>
      <c r="X21" s="5" t="str">
        <f aca="false">IF($C21=W$1,$F21,"")</f>
        <v/>
      </c>
      <c r="Y21" s="6" t="str">
        <f aca="false">IF($C21=Y$1,$K21,"")</f>
        <v/>
      </c>
      <c r="Z21" s="5" t="str">
        <f aca="false">IF($C21=Y$1,$F21,"")</f>
        <v/>
      </c>
      <c r="AA21" s="6" t="str">
        <f aca="false">IF($C21=AA$1,$K21,"")</f>
        <v/>
      </c>
      <c r="AB21" s="5" t="str">
        <f aca="false">IF($C21=AA$1,$F21,"")</f>
        <v/>
      </c>
      <c r="AC21" s="6" t="str">
        <f aca="false">IF($C21=AC$1,$K21,"")</f>
        <v/>
      </c>
      <c r="AD21" s="5" t="str">
        <f aca="false">IF($C21=AC$1,$F21,"")</f>
        <v/>
      </c>
      <c r="AE21" s="6" t="str">
        <f aca="false">IF($C21=AE$1,$K21,"")</f>
        <v/>
      </c>
      <c r="AF21" s="5" t="str">
        <f aca="false">IF($C21=AE$1,$F21,"")</f>
        <v/>
      </c>
      <c r="AG21" s="6" t="str">
        <f aca="false">IF($C21=AG$1,$K21,"")</f>
        <v/>
      </c>
      <c r="AH21" s="5" t="str">
        <f aca="false">IF($C21=AG$1,$F21,"")</f>
        <v/>
      </c>
      <c r="AI21" s="6" t="str">
        <f aca="false">IF($C21=AI$1,$K21,"")</f>
        <v/>
      </c>
      <c r="AJ21" s="5" t="str">
        <f aca="false">IF($C21=AI$1,$F21,"")</f>
        <v/>
      </c>
      <c r="AK21" s="6" t="str">
        <f aca="false">IF($C21=AK$1,$K21,"")</f>
        <v/>
      </c>
      <c r="AL21" s="5" t="str">
        <f aca="false">IF($C21=AK$1,$F21,"")</f>
        <v/>
      </c>
      <c r="AM21" s="6" t="str">
        <f aca="false">IF($C21=AM$1,$K21,"")</f>
        <v/>
      </c>
      <c r="AN21" s="5" t="str">
        <f aca="false">IF($C21=AM$1,$F21,"")</f>
        <v/>
      </c>
      <c r="AO21" s="6" t="n">
        <f aca="false">IF($C21=AO$1,$K21,"")</f>
        <v>20865.75</v>
      </c>
      <c r="AP21" s="5" t="n">
        <f aca="false">IF($C21=AO$1,$F21,"")</f>
        <v>32.35</v>
      </c>
      <c r="AQ21" s="5" t="n">
        <f aca="false">IF($F21="",0,IF($D21=AQ$1,$F21,0))</f>
        <v>0</v>
      </c>
      <c r="AR21" s="6" t="n">
        <f aca="false">IF($D21=AQ$1,N($K21)-N($L21)-N($O21),0)</f>
        <v>0</v>
      </c>
      <c r="AS21" s="5" t="n">
        <f aca="false">IF($F21="",0,IF($D21=AS$1,$F21,0))</f>
        <v>32.35</v>
      </c>
      <c r="AT21" s="6" t="n">
        <f aca="false">IF($D21=AS$1,N($K21)-N($L21)-N($O21),0)</f>
        <v>1135.75</v>
      </c>
      <c r="AU21" s="5" t="n">
        <f aca="false">IF(N($J21)&gt;0,N($F21),0)</f>
        <v>32.35</v>
      </c>
      <c r="AV21" s="6" t="n">
        <f aca="false">IF(N($J21)&gt;0,$F21*$J21,0)</f>
        <v>647</v>
      </c>
    </row>
    <row r="22" customFormat="false" ht="15" hidden="false" customHeight="false" outlineLevel="0" collapsed="false">
      <c r="A22" s="16" t="n">
        <v>45981</v>
      </c>
      <c r="B22" s="4" t="s">
        <v>232</v>
      </c>
      <c r="C22" s="4" t="s">
        <v>27</v>
      </c>
      <c r="D22" s="4" t="s">
        <v>68</v>
      </c>
      <c r="E22" s="4" t="n">
        <f aca="false">E21+1</f>
        <v>20</v>
      </c>
      <c r="F22" s="5" t="n">
        <v>30.98</v>
      </c>
      <c r="G22" s="6" t="n">
        <v>610</v>
      </c>
      <c r="H22" s="6" t="n">
        <v>645</v>
      </c>
      <c r="I22" s="6" t="n">
        <v>0</v>
      </c>
      <c r="J22" s="6" t="n">
        <v>20</v>
      </c>
      <c r="K22" s="6" t="n">
        <f aca="false">IF($F22="","",$F22*$H22)</f>
        <v>19982.1</v>
      </c>
      <c r="L22" s="6" t="n">
        <f aca="false">IFERROR(ROUND($F22*$G22,-1),"")</f>
        <v>18900</v>
      </c>
      <c r="M22" s="4"/>
      <c r="N22" s="5" t="n">
        <f aca="false">IF($F22="","",IF(N($I22)&gt;0,$F22,0))</f>
        <v>0</v>
      </c>
      <c r="O22" s="6" t="n">
        <f aca="false">IF($F22="","",N($N22)*N($I22))</f>
        <v>0</v>
      </c>
      <c r="P22" s="6" t="str">
        <f aca="false">IF(OR($C22=P$1,$C22="Titan Rocks"),$K22,"")</f>
        <v/>
      </c>
      <c r="Q22" s="6" t="str">
        <f aca="false">IF($C22=Q$1,$K22,"")</f>
        <v/>
      </c>
      <c r="R22" s="5" t="str">
        <f aca="false">IF($C22=Q$1,$F22,"")</f>
        <v/>
      </c>
      <c r="S22" s="6" t="str">
        <f aca="false">IF($C22=S$1,$K22,"")</f>
        <v/>
      </c>
      <c r="T22" s="5" t="str">
        <f aca="false">IF($C22=S$1,$F22,"")</f>
        <v/>
      </c>
      <c r="U22" s="6" t="str">
        <f aca="false">IF($C22=U$1,$K22,"")</f>
        <v/>
      </c>
      <c r="V22" s="5" t="str">
        <f aca="false">IF($C22=U$1,$F22,"")</f>
        <v/>
      </c>
      <c r="W22" s="6" t="str">
        <f aca="false">IF($C22=W$1,$K22,"")</f>
        <v/>
      </c>
      <c r="X22" s="5" t="str">
        <f aca="false">IF($C22=W$1,$F22,"")</f>
        <v/>
      </c>
      <c r="Y22" s="6" t="str">
        <f aca="false">IF($C22=Y$1,$K22,"")</f>
        <v/>
      </c>
      <c r="Z22" s="5" t="str">
        <f aca="false">IF($C22=Y$1,$F22,"")</f>
        <v/>
      </c>
      <c r="AA22" s="6" t="str">
        <f aca="false">IF($C22=AA$1,$K22,"")</f>
        <v/>
      </c>
      <c r="AB22" s="5" t="str">
        <f aca="false">IF($C22=AA$1,$F22,"")</f>
        <v/>
      </c>
      <c r="AC22" s="6" t="str">
        <f aca="false">IF($C22=AC$1,$K22,"")</f>
        <v/>
      </c>
      <c r="AD22" s="5" t="str">
        <f aca="false">IF($C22=AC$1,$F22,"")</f>
        <v/>
      </c>
      <c r="AE22" s="6" t="str">
        <f aca="false">IF($C22=AE$1,$K22,"")</f>
        <v/>
      </c>
      <c r="AF22" s="5" t="str">
        <f aca="false">IF($C22=AE$1,$F22,"")</f>
        <v/>
      </c>
      <c r="AG22" s="6" t="str">
        <f aca="false">IF($C22=AG$1,$K22,"")</f>
        <v/>
      </c>
      <c r="AH22" s="5" t="str">
        <f aca="false">IF($C22=AG$1,$F22,"")</f>
        <v/>
      </c>
      <c r="AI22" s="6" t="str">
        <f aca="false">IF($C22=AI$1,$K22,"")</f>
        <v/>
      </c>
      <c r="AJ22" s="5" t="str">
        <f aca="false">IF($C22=AI$1,$F22,"")</f>
        <v/>
      </c>
      <c r="AK22" s="6" t="str">
        <f aca="false">IF($C22=AK$1,$K22,"")</f>
        <v/>
      </c>
      <c r="AL22" s="5" t="str">
        <f aca="false">IF($C22=AK$1,$F22,"")</f>
        <v/>
      </c>
      <c r="AM22" s="6" t="str">
        <f aca="false">IF($C22=AM$1,$K22,"")</f>
        <v/>
      </c>
      <c r="AN22" s="5" t="str">
        <f aca="false">IF($C22=AM$1,$F22,"")</f>
        <v/>
      </c>
      <c r="AO22" s="6" t="n">
        <f aca="false">IF($C22=AO$1,$K22,"")</f>
        <v>19982.1</v>
      </c>
      <c r="AP22" s="5" t="n">
        <f aca="false">IF($C22=AO$1,$F22,"")</f>
        <v>30.98</v>
      </c>
      <c r="AQ22" s="5" t="n">
        <f aca="false">IF($F22="",0,IF($D22=AQ$1,$F22,0))</f>
        <v>0</v>
      </c>
      <c r="AR22" s="6" t="n">
        <f aca="false">IF($D22=AQ$1,N($K22)-N($L22)-N($O22),0)</f>
        <v>0</v>
      </c>
      <c r="AS22" s="5" t="n">
        <f aca="false">IF($F22="",0,IF($D22=AS$1,$F22,0))</f>
        <v>30.98</v>
      </c>
      <c r="AT22" s="6" t="n">
        <f aca="false">IF($D22=AS$1,N($K22)-N($L22)-N($O22),0)</f>
        <v>1082.1</v>
      </c>
      <c r="AU22" s="5" t="n">
        <f aca="false">IF(N($J22)&gt;0,N($F22),0)</f>
        <v>30.98</v>
      </c>
      <c r="AV22" s="6" t="n">
        <f aca="false">IF(N($J22)&gt;0,$F22*$J22,0)</f>
        <v>619.6</v>
      </c>
    </row>
    <row r="23" customFormat="false" ht="15" hidden="false" customHeight="false" outlineLevel="0" collapsed="false">
      <c r="A23" s="16" t="n">
        <v>45981</v>
      </c>
      <c r="B23" s="4" t="s">
        <v>232</v>
      </c>
      <c r="C23" s="4" t="s">
        <v>27</v>
      </c>
      <c r="D23" s="4" t="s">
        <v>68</v>
      </c>
      <c r="E23" s="4" t="n">
        <f aca="false">E22+1</f>
        <v>21</v>
      </c>
      <c r="F23" s="5" t="n">
        <v>32.65</v>
      </c>
      <c r="G23" s="6" t="n">
        <v>610</v>
      </c>
      <c r="H23" s="6" t="n">
        <v>645</v>
      </c>
      <c r="I23" s="6" t="n">
        <v>0</v>
      </c>
      <c r="J23" s="6" t="n">
        <v>20</v>
      </c>
      <c r="K23" s="6" t="n">
        <f aca="false">IF($F23="","",$F23*$H23)</f>
        <v>21059.25</v>
      </c>
      <c r="L23" s="6" t="n">
        <f aca="false">IFERROR(ROUND($F23*$G23,-1),"")</f>
        <v>19920</v>
      </c>
      <c r="M23" s="4"/>
      <c r="N23" s="5" t="n">
        <f aca="false">IF($F23="","",IF(N($I23)&gt;0,$F23,0))</f>
        <v>0</v>
      </c>
      <c r="O23" s="6" t="n">
        <f aca="false">IF($F23="","",N($N23)*N($I23))</f>
        <v>0</v>
      </c>
      <c r="P23" s="6" t="str">
        <f aca="false">IF(OR($C23=P$1,$C23="Titan Rocks"),$K23,"")</f>
        <v/>
      </c>
      <c r="Q23" s="6" t="str">
        <f aca="false">IF($C23=Q$1,$K23,"")</f>
        <v/>
      </c>
      <c r="R23" s="5" t="str">
        <f aca="false">IF($C23=Q$1,$F23,"")</f>
        <v/>
      </c>
      <c r="S23" s="6" t="str">
        <f aca="false">IF($C23=S$1,$K23,"")</f>
        <v/>
      </c>
      <c r="T23" s="5" t="str">
        <f aca="false">IF($C23=S$1,$F23,"")</f>
        <v/>
      </c>
      <c r="U23" s="6" t="str">
        <f aca="false">IF($C23=U$1,$K23,"")</f>
        <v/>
      </c>
      <c r="V23" s="5" t="str">
        <f aca="false">IF($C23=U$1,$F23,"")</f>
        <v/>
      </c>
      <c r="W23" s="6" t="str">
        <f aca="false">IF($C23=W$1,$K23,"")</f>
        <v/>
      </c>
      <c r="X23" s="5" t="str">
        <f aca="false">IF($C23=W$1,$F23,"")</f>
        <v/>
      </c>
      <c r="Y23" s="6" t="str">
        <f aca="false">IF($C23=Y$1,$K23,"")</f>
        <v/>
      </c>
      <c r="Z23" s="5" t="str">
        <f aca="false">IF($C23=Y$1,$F23,"")</f>
        <v/>
      </c>
      <c r="AA23" s="6" t="str">
        <f aca="false">IF($C23=AA$1,$K23,"")</f>
        <v/>
      </c>
      <c r="AB23" s="5" t="str">
        <f aca="false">IF($C23=AA$1,$F23,"")</f>
        <v/>
      </c>
      <c r="AC23" s="6" t="str">
        <f aca="false">IF($C23=AC$1,$K23,"")</f>
        <v/>
      </c>
      <c r="AD23" s="5" t="str">
        <f aca="false">IF($C23=AC$1,$F23,"")</f>
        <v/>
      </c>
      <c r="AE23" s="6" t="str">
        <f aca="false">IF($C23=AE$1,$K23,"")</f>
        <v/>
      </c>
      <c r="AF23" s="5" t="str">
        <f aca="false">IF($C23=AE$1,$F23,"")</f>
        <v/>
      </c>
      <c r="AG23" s="6" t="str">
        <f aca="false">IF($C23=AG$1,$K23,"")</f>
        <v/>
      </c>
      <c r="AH23" s="5" t="str">
        <f aca="false">IF($C23=AG$1,$F23,"")</f>
        <v/>
      </c>
      <c r="AI23" s="6" t="str">
        <f aca="false">IF($C23=AI$1,$K23,"")</f>
        <v/>
      </c>
      <c r="AJ23" s="5" t="str">
        <f aca="false">IF($C23=AI$1,$F23,"")</f>
        <v/>
      </c>
      <c r="AK23" s="6" t="str">
        <f aca="false">IF($C23=AK$1,$K23,"")</f>
        <v/>
      </c>
      <c r="AL23" s="5" t="str">
        <f aca="false">IF($C23=AK$1,$F23,"")</f>
        <v/>
      </c>
      <c r="AM23" s="6" t="str">
        <f aca="false">IF($C23=AM$1,$K23,"")</f>
        <v/>
      </c>
      <c r="AN23" s="5" t="str">
        <f aca="false">IF($C23=AM$1,$F23,"")</f>
        <v/>
      </c>
      <c r="AO23" s="6" t="n">
        <f aca="false">IF($C23=AO$1,$K23,"")</f>
        <v>21059.25</v>
      </c>
      <c r="AP23" s="5" t="n">
        <f aca="false">IF($C23=AO$1,$F23,"")</f>
        <v>32.65</v>
      </c>
      <c r="AQ23" s="5" t="n">
        <f aca="false">IF($F23="",0,IF($D23=AQ$1,$F23,0))</f>
        <v>0</v>
      </c>
      <c r="AR23" s="6" t="n">
        <f aca="false">IF($D23=AQ$1,N($K23)-N($L23)-N($O23),0)</f>
        <v>0</v>
      </c>
      <c r="AS23" s="5" t="n">
        <f aca="false">IF($F23="",0,IF($D23=AS$1,$F23,0))</f>
        <v>32.65</v>
      </c>
      <c r="AT23" s="6" t="n">
        <f aca="false">IF($D23=AS$1,N($K23)-N($L23)-N($O23),0)</f>
        <v>1139.25</v>
      </c>
      <c r="AU23" s="5" t="n">
        <f aca="false">IF(N($J23)&gt;0,N($F23),0)</f>
        <v>32.65</v>
      </c>
      <c r="AV23" s="6" t="n">
        <f aca="false">IF(N($J23)&gt;0,$F23*$J23,0)</f>
        <v>653</v>
      </c>
    </row>
    <row r="24" customFormat="false" ht="15" hidden="false" customHeight="false" outlineLevel="0" collapsed="false">
      <c r="A24" s="16" t="n">
        <v>45981</v>
      </c>
      <c r="B24" s="4" t="s">
        <v>232</v>
      </c>
      <c r="C24" s="4" t="s">
        <v>27</v>
      </c>
      <c r="D24" s="4" t="s">
        <v>68</v>
      </c>
      <c r="E24" s="4" t="n">
        <f aca="false">E23+1</f>
        <v>22</v>
      </c>
      <c r="F24" s="5" t="n">
        <v>31.71</v>
      </c>
      <c r="G24" s="6" t="n">
        <v>610</v>
      </c>
      <c r="H24" s="6" t="n">
        <v>645</v>
      </c>
      <c r="I24" s="6" t="n">
        <v>0</v>
      </c>
      <c r="J24" s="6" t="n">
        <v>20</v>
      </c>
      <c r="K24" s="6" t="n">
        <f aca="false">IF($F24="","",$F24*$H24)</f>
        <v>20452.95</v>
      </c>
      <c r="L24" s="6" t="n">
        <f aca="false">IFERROR(ROUND($F24*$G24,-1),"")</f>
        <v>19340</v>
      </c>
      <c r="M24" s="4"/>
      <c r="N24" s="5" t="n">
        <f aca="false">IF($F24="","",IF(N($I24)&gt;0,$F24,0))</f>
        <v>0</v>
      </c>
      <c r="O24" s="6" t="n">
        <f aca="false">IF($F24="","",N($N24)*N($I24))</f>
        <v>0</v>
      </c>
      <c r="P24" s="6" t="str">
        <f aca="false">IF(OR($C24=P$1,$C24="Titan Rocks"),$K24,"")</f>
        <v/>
      </c>
      <c r="Q24" s="6" t="str">
        <f aca="false">IF($C24=Q$1,$K24,"")</f>
        <v/>
      </c>
      <c r="R24" s="5" t="str">
        <f aca="false">IF($C24=Q$1,$F24,"")</f>
        <v/>
      </c>
      <c r="S24" s="6" t="str">
        <f aca="false">IF($C24=S$1,$K24,"")</f>
        <v/>
      </c>
      <c r="T24" s="5" t="str">
        <f aca="false">IF($C24=S$1,$F24,"")</f>
        <v/>
      </c>
      <c r="U24" s="6" t="str">
        <f aca="false">IF($C24=U$1,$K24,"")</f>
        <v/>
      </c>
      <c r="V24" s="5" t="str">
        <f aca="false">IF($C24=U$1,$F24,"")</f>
        <v/>
      </c>
      <c r="W24" s="6" t="str">
        <f aca="false">IF($C24=W$1,$K24,"")</f>
        <v/>
      </c>
      <c r="X24" s="5" t="str">
        <f aca="false">IF($C24=W$1,$F24,"")</f>
        <v/>
      </c>
      <c r="Y24" s="6" t="str">
        <f aca="false">IF($C24=Y$1,$K24,"")</f>
        <v/>
      </c>
      <c r="Z24" s="5" t="str">
        <f aca="false">IF($C24=Y$1,$F24,"")</f>
        <v/>
      </c>
      <c r="AA24" s="6" t="str">
        <f aca="false">IF($C24=AA$1,$K24,"")</f>
        <v/>
      </c>
      <c r="AB24" s="5" t="str">
        <f aca="false">IF($C24=AA$1,$F24,"")</f>
        <v/>
      </c>
      <c r="AC24" s="6" t="str">
        <f aca="false">IF($C24=AC$1,$K24,"")</f>
        <v/>
      </c>
      <c r="AD24" s="5" t="str">
        <f aca="false">IF($C24=AC$1,$F24,"")</f>
        <v/>
      </c>
      <c r="AE24" s="6" t="str">
        <f aca="false">IF($C24=AE$1,$K24,"")</f>
        <v/>
      </c>
      <c r="AF24" s="5" t="str">
        <f aca="false">IF($C24=AE$1,$F24,"")</f>
        <v/>
      </c>
      <c r="AG24" s="6" t="str">
        <f aca="false">IF($C24=AG$1,$K24,"")</f>
        <v/>
      </c>
      <c r="AH24" s="5" t="str">
        <f aca="false">IF($C24=AG$1,$F24,"")</f>
        <v/>
      </c>
      <c r="AI24" s="6" t="str">
        <f aca="false">IF($C24=AI$1,$K24,"")</f>
        <v/>
      </c>
      <c r="AJ24" s="5" t="str">
        <f aca="false">IF($C24=AI$1,$F24,"")</f>
        <v/>
      </c>
      <c r="AK24" s="6" t="str">
        <f aca="false">IF($C24=AK$1,$K24,"")</f>
        <v/>
      </c>
      <c r="AL24" s="5" t="str">
        <f aca="false">IF($C24=AK$1,$F24,"")</f>
        <v/>
      </c>
      <c r="AM24" s="6" t="str">
        <f aca="false">IF($C24=AM$1,$K24,"")</f>
        <v/>
      </c>
      <c r="AN24" s="5" t="str">
        <f aca="false">IF($C24=AM$1,$F24,"")</f>
        <v/>
      </c>
      <c r="AO24" s="6" t="n">
        <f aca="false">IF($C24=AO$1,$K24,"")</f>
        <v>20452.95</v>
      </c>
      <c r="AP24" s="5" t="n">
        <f aca="false">IF($C24=AO$1,$F24,"")</f>
        <v>31.71</v>
      </c>
      <c r="AQ24" s="5" t="n">
        <f aca="false">IF($F24="",0,IF($D24=AQ$1,$F24,0))</f>
        <v>0</v>
      </c>
      <c r="AR24" s="6" t="n">
        <f aca="false">IF($D24=AQ$1,N($K24)-N($L24)-N($O24),0)</f>
        <v>0</v>
      </c>
      <c r="AS24" s="5" t="n">
        <f aca="false">IF($F24="",0,IF($D24=AS$1,$F24,0))</f>
        <v>31.71</v>
      </c>
      <c r="AT24" s="6" t="n">
        <f aca="false">IF($D24=AS$1,N($K24)-N($L24)-N($O24),0)</f>
        <v>1112.95</v>
      </c>
      <c r="AU24" s="5" t="n">
        <f aca="false">IF(N($J24)&gt;0,N($F24),0)</f>
        <v>31.71</v>
      </c>
      <c r="AV24" s="6" t="n">
        <f aca="false">IF(N($J24)&gt;0,$F24*$J24,0)</f>
        <v>634.2</v>
      </c>
    </row>
    <row r="25" customFormat="false" ht="15" hidden="false" customHeight="false" outlineLevel="0" collapsed="false">
      <c r="A25" s="16" t="n">
        <v>45981</v>
      </c>
      <c r="B25" s="4" t="s">
        <v>232</v>
      </c>
      <c r="C25" s="4" t="s">
        <v>27</v>
      </c>
      <c r="D25" s="4" t="s">
        <v>68</v>
      </c>
      <c r="E25" s="4" t="n">
        <f aca="false">E24+1</f>
        <v>23</v>
      </c>
      <c r="F25" s="5" t="n">
        <v>31.19</v>
      </c>
      <c r="G25" s="6" t="n">
        <v>610</v>
      </c>
      <c r="H25" s="6" t="n">
        <v>645</v>
      </c>
      <c r="I25" s="6" t="n">
        <v>0</v>
      </c>
      <c r="J25" s="6" t="n">
        <v>20</v>
      </c>
      <c r="K25" s="6" t="n">
        <f aca="false">IF($F25="","",$F25*$H25)</f>
        <v>20117.55</v>
      </c>
      <c r="L25" s="6" t="n">
        <f aca="false">IFERROR(ROUND($F25*$G25,-1),"")</f>
        <v>19030</v>
      </c>
      <c r="M25" s="4"/>
      <c r="N25" s="5" t="n">
        <f aca="false">IF($F25="","",IF(N($I25)&gt;0,$F25,0))</f>
        <v>0</v>
      </c>
      <c r="O25" s="6" t="n">
        <f aca="false">IF($F25="","",N($N25)*N($I25))</f>
        <v>0</v>
      </c>
      <c r="P25" s="6" t="str">
        <f aca="false">IF(OR($C25=P$1,$C25="Titan Rocks"),$K25,"")</f>
        <v/>
      </c>
      <c r="Q25" s="6" t="str">
        <f aca="false">IF($C25=Q$1,$K25,"")</f>
        <v/>
      </c>
      <c r="R25" s="5" t="str">
        <f aca="false">IF($C25=Q$1,$F25,"")</f>
        <v/>
      </c>
      <c r="S25" s="6" t="str">
        <f aca="false">IF($C25=S$1,$K25,"")</f>
        <v/>
      </c>
      <c r="T25" s="5" t="str">
        <f aca="false">IF($C25=S$1,$F25,"")</f>
        <v/>
      </c>
      <c r="U25" s="6" t="str">
        <f aca="false">IF($C25=U$1,$K25,"")</f>
        <v/>
      </c>
      <c r="V25" s="5" t="str">
        <f aca="false">IF($C25=U$1,$F25,"")</f>
        <v/>
      </c>
      <c r="W25" s="6" t="str">
        <f aca="false">IF($C25=W$1,$K25,"")</f>
        <v/>
      </c>
      <c r="X25" s="5" t="str">
        <f aca="false">IF($C25=W$1,$F25,"")</f>
        <v/>
      </c>
      <c r="Y25" s="6" t="str">
        <f aca="false">IF($C25=Y$1,$K25,"")</f>
        <v/>
      </c>
      <c r="Z25" s="5" t="str">
        <f aca="false">IF($C25=Y$1,$F25,"")</f>
        <v/>
      </c>
      <c r="AA25" s="6" t="str">
        <f aca="false">IF($C25=AA$1,$K25,"")</f>
        <v/>
      </c>
      <c r="AB25" s="5" t="str">
        <f aca="false">IF($C25=AA$1,$F25,"")</f>
        <v/>
      </c>
      <c r="AC25" s="6" t="str">
        <f aca="false">IF($C25=AC$1,$K25,"")</f>
        <v/>
      </c>
      <c r="AD25" s="5" t="str">
        <f aca="false">IF($C25=AC$1,$F25,"")</f>
        <v/>
      </c>
      <c r="AE25" s="6" t="str">
        <f aca="false">IF($C25=AE$1,$K25,"")</f>
        <v/>
      </c>
      <c r="AF25" s="5" t="str">
        <f aca="false">IF($C25=AE$1,$F25,"")</f>
        <v/>
      </c>
      <c r="AG25" s="6" t="str">
        <f aca="false">IF($C25=AG$1,$K25,"")</f>
        <v/>
      </c>
      <c r="AH25" s="5" t="str">
        <f aca="false">IF($C25=AG$1,$F25,"")</f>
        <v/>
      </c>
      <c r="AI25" s="6" t="str">
        <f aca="false">IF($C25=AI$1,$K25,"")</f>
        <v/>
      </c>
      <c r="AJ25" s="5" t="str">
        <f aca="false">IF($C25=AI$1,$F25,"")</f>
        <v/>
      </c>
      <c r="AK25" s="6" t="str">
        <f aca="false">IF($C25=AK$1,$K25,"")</f>
        <v/>
      </c>
      <c r="AL25" s="5" t="str">
        <f aca="false">IF($C25=AK$1,$F25,"")</f>
        <v/>
      </c>
      <c r="AM25" s="6" t="str">
        <f aca="false">IF($C25=AM$1,$K25,"")</f>
        <v/>
      </c>
      <c r="AN25" s="5" t="str">
        <f aca="false">IF($C25=AM$1,$F25,"")</f>
        <v/>
      </c>
      <c r="AO25" s="6" t="n">
        <f aca="false">IF($C25=AO$1,$K25,"")</f>
        <v>20117.55</v>
      </c>
      <c r="AP25" s="5" t="n">
        <f aca="false">IF($C25=AO$1,$F25,"")</f>
        <v>31.19</v>
      </c>
      <c r="AQ25" s="5" t="n">
        <f aca="false">IF($F25="",0,IF($D25=AQ$1,$F25,0))</f>
        <v>0</v>
      </c>
      <c r="AR25" s="6" t="n">
        <f aca="false">IF($D25=AQ$1,N($K25)-N($L25)-N($O25),0)</f>
        <v>0</v>
      </c>
      <c r="AS25" s="5" t="n">
        <f aca="false">IF($F25="",0,IF($D25=AS$1,$F25,0))</f>
        <v>31.19</v>
      </c>
      <c r="AT25" s="6" t="n">
        <f aca="false">IF($D25=AS$1,N($K25)-N($L25)-N($O25),0)</f>
        <v>1087.55</v>
      </c>
      <c r="AU25" s="5" t="n">
        <f aca="false">IF(N($J25)&gt;0,N($F25),0)</f>
        <v>31.19</v>
      </c>
      <c r="AV25" s="6" t="n">
        <f aca="false">IF(N($J25)&gt;0,$F25*$J25,0)</f>
        <v>623.8</v>
      </c>
    </row>
    <row r="26" customFormat="false" ht="15" hidden="false" customHeight="false" outlineLevel="0" collapsed="false">
      <c r="A26" s="16" t="n">
        <v>45981</v>
      </c>
      <c r="B26" s="4" t="s">
        <v>232</v>
      </c>
      <c r="C26" s="4" t="s">
        <v>27</v>
      </c>
      <c r="D26" s="4" t="s">
        <v>68</v>
      </c>
      <c r="E26" s="4" t="n">
        <f aca="false">E25+1</f>
        <v>24</v>
      </c>
      <c r="F26" s="5" t="n">
        <v>32.59</v>
      </c>
      <c r="G26" s="6" t="n">
        <v>610</v>
      </c>
      <c r="H26" s="6" t="n">
        <v>645</v>
      </c>
      <c r="I26" s="6" t="n">
        <v>0</v>
      </c>
      <c r="J26" s="6" t="n">
        <v>20</v>
      </c>
      <c r="K26" s="6" t="n">
        <f aca="false">IF($F26="","",$F26*$H26)</f>
        <v>21020.55</v>
      </c>
      <c r="L26" s="6" t="n">
        <f aca="false">IFERROR(ROUND($F26*$G26,-1),"")</f>
        <v>19880</v>
      </c>
      <c r="M26" s="4"/>
      <c r="N26" s="5" t="n">
        <f aca="false">IF($F26="","",IF(N($I26)&gt;0,$F26,0))</f>
        <v>0</v>
      </c>
      <c r="O26" s="6" t="n">
        <f aca="false">IF($F26="","",N($N26)*N($I26))</f>
        <v>0</v>
      </c>
      <c r="P26" s="6" t="str">
        <f aca="false">IF(OR($C26=P$1,$C26="Titan Rocks"),$K26,"")</f>
        <v/>
      </c>
      <c r="Q26" s="6" t="str">
        <f aca="false">IF($C26=Q$1,$K26,"")</f>
        <v/>
      </c>
      <c r="R26" s="5" t="str">
        <f aca="false">IF($C26=Q$1,$F26,"")</f>
        <v/>
      </c>
      <c r="S26" s="6" t="str">
        <f aca="false">IF($C26=S$1,$K26,"")</f>
        <v/>
      </c>
      <c r="T26" s="5" t="str">
        <f aca="false">IF($C26=S$1,$F26,"")</f>
        <v/>
      </c>
      <c r="U26" s="6" t="str">
        <f aca="false">IF($C26=U$1,$K26,"")</f>
        <v/>
      </c>
      <c r="V26" s="5" t="str">
        <f aca="false">IF($C26=U$1,$F26,"")</f>
        <v/>
      </c>
      <c r="W26" s="6" t="str">
        <f aca="false">IF($C26=W$1,$K26,"")</f>
        <v/>
      </c>
      <c r="X26" s="5" t="str">
        <f aca="false">IF($C26=W$1,$F26,"")</f>
        <v/>
      </c>
      <c r="Y26" s="6" t="str">
        <f aca="false">IF($C26=Y$1,$K26,"")</f>
        <v/>
      </c>
      <c r="Z26" s="5" t="str">
        <f aca="false">IF($C26=Y$1,$F26,"")</f>
        <v/>
      </c>
      <c r="AA26" s="6" t="str">
        <f aca="false">IF($C26=AA$1,$K26,"")</f>
        <v/>
      </c>
      <c r="AB26" s="5" t="str">
        <f aca="false">IF($C26=AA$1,$F26,"")</f>
        <v/>
      </c>
      <c r="AC26" s="6" t="str">
        <f aca="false">IF($C26=AC$1,$K26,"")</f>
        <v/>
      </c>
      <c r="AD26" s="5" t="str">
        <f aca="false">IF($C26=AC$1,$F26,"")</f>
        <v/>
      </c>
      <c r="AE26" s="6" t="str">
        <f aca="false">IF($C26=AE$1,$K26,"")</f>
        <v/>
      </c>
      <c r="AF26" s="5" t="str">
        <f aca="false">IF($C26=AE$1,$F26,"")</f>
        <v/>
      </c>
      <c r="AG26" s="6" t="str">
        <f aca="false">IF($C26=AG$1,$K26,"")</f>
        <v/>
      </c>
      <c r="AH26" s="5" t="str">
        <f aca="false">IF($C26=AG$1,$F26,"")</f>
        <v/>
      </c>
      <c r="AI26" s="6" t="str">
        <f aca="false">IF($C26=AI$1,$K26,"")</f>
        <v/>
      </c>
      <c r="AJ26" s="5" t="str">
        <f aca="false">IF($C26=AI$1,$F26,"")</f>
        <v/>
      </c>
      <c r="AK26" s="6" t="str">
        <f aca="false">IF($C26=AK$1,$K26,"")</f>
        <v/>
      </c>
      <c r="AL26" s="5" t="str">
        <f aca="false">IF($C26=AK$1,$F26,"")</f>
        <v/>
      </c>
      <c r="AM26" s="6" t="str">
        <f aca="false">IF($C26=AM$1,$K26,"")</f>
        <v/>
      </c>
      <c r="AN26" s="5" t="str">
        <f aca="false">IF($C26=AM$1,$F26,"")</f>
        <v/>
      </c>
      <c r="AO26" s="6" t="n">
        <f aca="false">IF($C26=AO$1,$K26,"")</f>
        <v>21020.55</v>
      </c>
      <c r="AP26" s="5" t="n">
        <f aca="false">IF($C26=AO$1,$F26,"")</f>
        <v>32.59</v>
      </c>
      <c r="AQ26" s="5" t="n">
        <f aca="false">IF($F26="",0,IF($D26=AQ$1,$F26,0))</f>
        <v>0</v>
      </c>
      <c r="AR26" s="6" t="n">
        <f aca="false">IF($D26=AQ$1,N($K26)-N($L26)-N($O26),0)</f>
        <v>0</v>
      </c>
      <c r="AS26" s="5" t="n">
        <f aca="false">IF($F26="",0,IF($D26=AS$1,$F26,0))</f>
        <v>32.59</v>
      </c>
      <c r="AT26" s="6" t="n">
        <f aca="false">IF($D26=AS$1,N($K26)-N($L26)-N($O26),0)</f>
        <v>1140.55</v>
      </c>
      <c r="AU26" s="5" t="n">
        <f aca="false">IF(N($J26)&gt;0,N($F26),0)</f>
        <v>32.59</v>
      </c>
      <c r="AV26" s="6" t="n">
        <f aca="false">IF(N($J26)&gt;0,$F26*$J26,0)</f>
        <v>651.8</v>
      </c>
    </row>
    <row r="27" customFormat="false" ht="15" hidden="false" customHeight="false" outlineLevel="0" collapsed="false">
      <c r="A27" s="16" t="n">
        <v>45986</v>
      </c>
      <c r="B27" s="4" t="s">
        <v>232</v>
      </c>
      <c r="C27" s="4" t="s">
        <v>27</v>
      </c>
      <c r="D27" s="4" t="s">
        <v>67</v>
      </c>
      <c r="E27" s="4" t="n">
        <f aca="false">E26+1</f>
        <v>25</v>
      </c>
      <c r="F27" s="5" t="n">
        <v>30.07</v>
      </c>
      <c r="G27" s="6" t="n">
        <v>640</v>
      </c>
      <c r="H27" s="6" t="n">
        <v>645</v>
      </c>
      <c r="I27" s="6" t="n">
        <v>0</v>
      </c>
      <c r="J27" s="6" t="n">
        <v>20</v>
      </c>
      <c r="K27" s="6" t="n">
        <f aca="false">IF($F27="","",$F27*$H27)</f>
        <v>19395.15</v>
      </c>
      <c r="L27" s="6" t="n">
        <f aca="false">IFERROR(ROUND($F27*$G27,-1),"")</f>
        <v>19240</v>
      </c>
      <c r="M27" s="4"/>
      <c r="N27" s="5" t="n">
        <f aca="false">IF($F27="","",IF(N($I27)&gt;0,$F27,0))</f>
        <v>0</v>
      </c>
      <c r="O27" s="6" t="n">
        <f aca="false">IF($F27="","",N($N27)*N($I27))</f>
        <v>0</v>
      </c>
      <c r="P27" s="6" t="str">
        <f aca="false">IF(OR($C27=P$1,$C27="Titan Rocks"),$K27,"")</f>
        <v/>
      </c>
      <c r="Q27" s="6" t="str">
        <f aca="false">IF($C27=Q$1,$K27,"")</f>
        <v/>
      </c>
      <c r="R27" s="5" t="str">
        <f aca="false">IF($C27=Q$1,$F27,"")</f>
        <v/>
      </c>
      <c r="S27" s="6" t="str">
        <f aca="false">IF($C27=S$1,$K27,"")</f>
        <v/>
      </c>
      <c r="T27" s="5" t="str">
        <f aca="false">IF($C27=S$1,$F27,"")</f>
        <v/>
      </c>
      <c r="U27" s="6" t="str">
        <f aca="false">IF($C27=U$1,$K27,"")</f>
        <v/>
      </c>
      <c r="V27" s="5" t="str">
        <f aca="false">IF($C27=U$1,$F27,"")</f>
        <v/>
      </c>
      <c r="W27" s="6" t="str">
        <f aca="false">IF($C27=W$1,$K27,"")</f>
        <v/>
      </c>
      <c r="X27" s="5" t="str">
        <f aca="false">IF($C27=W$1,$F27,"")</f>
        <v/>
      </c>
      <c r="Y27" s="6" t="str">
        <f aca="false">IF($C27=Y$1,$K27,"")</f>
        <v/>
      </c>
      <c r="Z27" s="5" t="str">
        <f aca="false">IF($C27=Y$1,$F27,"")</f>
        <v/>
      </c>
      <c r="AA27" s="6" t="str">
        <f aca="false">IF($C27=AA$1,$K27,"")</f>
        <v/>
      </c>
      <c r="AB27" s="5" t="str">
        <f aca="false">IF($C27=AA$1,$F27,"")</f>
        <v/>
      </c>
      <c r="AC27" s="6" t="str">
        <f aca="false">IF($C27=AC$1,$K27,"")</f>
        <v/>
      </c>
      <c r="AD27" s="5" t="str">
        <f aca="false">IF($C27=AC$1,$F27,"")</f>
        <v/>
      </c>
      <c r="AE27" s="6" t="str">
        <f aca="false">IF($C27=AE$1,$K27,"")</f>
        <v/>
      </c>
      <c r="AF27" s="5" t="str">
        <f aca="false">IF($C27=AE$1,$F27,"")</f>
        <v/>
      </c>
      <c r="AG27" s="6" t="str">
        <f aca="false">IF($C27=AG$1,$K27,"")</f>
        <v/>
      </c>
      <c r="AH27" s="5" t="str">
        <f aca="false">IF($C27=AG$1,$F27,"")</f>
        <v/>
      </c>
      <c r="AI27" s="6" t="str">
        <f aca="false">IF($C27=AI$1,$K27,"")</f>
        <v/>
      </c>
      <c r="AJ27" s="5" t="str">
        <f aca="false">IF($C27=AI$1,$F27,"")</f>
        <v/>
      </c>
      <c r="AK27" s="6" t="str">
        <f aca="false">IF($C27=AK$1,$K27,"")</f>
        <v/>
      </c>
      <c r="AL27" s="5" t="str">
        <f aca="false">IF($C27=AK$1,$F27,"")</f>
        <v/>
      </c>
      <c r="AM27" s="6" t="str">
        <f aca="false">IF($C27=AM$1,$K27,"")</f>
        <v/>
      </c>
      <c r="AN27" s="5" t="str">
        <f aca="false">IF($C27=AM$1,$F27,"")</f>
        <v/>
      </c>
      <c r="AO27" s="6" t="n">
        <f aca="false">IF($C27=AO$1,$K27,"")</f>
        <v>19395.15</v>
      </c>
      <c r="AP27" s="5" t="n">
        <f aca="false">IF($C27=AO$1,$F27,"")</f>
        <v>30.07</v>
      </c>
      <c r="AQ27" s="5" t="n">
        <f aca="false">IF($F27="",0,IF($D27=AQ$1,$F27,0))</f>
        <v>30.07</v>
      </c>
      <c r="AR27" s="6" t="n">
        <f aca="false">IF($D27=AQ$1,N($K27)-N($L27)-N($O27),0)</f>
        <v>155.150000000001</v>
      </c>
      <c r="AS27" s="5" t="n">
        <f aca="false">IF($F27="",0,IF($D27=AS$1,$F27,0))</f>
        <v>0</v>
      </c>
      <c r="AT27" s="6" t="n">
        <f aca="false">IF($D27=AS$1,N($K27)-N($L27)-N($O27),0)</f>
        <v>0</v>
      </c>
      <c r="AU27" s="5" t="n">
        <f aca="false">IF(N($J27)&gt;0,N($F27),0)</f>
        <v>30.07</v>
      </c>
      <c r="AV27" s="6" t="n">
        <f aca="false">IF(N($J27)&gt;0,$F27*$J27,0)</f>
        <v>601.4</v>
      </c>
    </row>
    <row r="28" customFormat="false" ht="15" hidden="false" customHeight="false" outlineLevel="0" collapsed="false">
      <c r="A28" s="16" t="n">
        <v>45986</v>
      </c>
      <c r="B28" s="4" t="s">
        <v>232</v>
      </c>
      <c r="C28" s="4" t="s">
        <v>27</v>
      </c>
      <c r="D28" s="4" t="s">
        <v>68</v>
      </c>
      <c r="E28" s="4" t="n">
        <f aca="false">E27+1</f>
        <v>26</v>
      </c>
      <c r="F28" s="5" t="n">
        <v>29.03</v>
      </c>
      <c r="G28" s="6" t="n">
        <v>610</v>
      </c>
      <c r="H28" s="6" t="n">
        <v>645</v>
      </c>
      <c r="I28" s="6" t="n">
        <v>0</v>
      </c>
      <c r="J28" s="6" t="n">
        <v>20</v>
      </c>
      <c r="K28" s="6" t="n">
        <f aca="false">IF($F28="","",$F28*$H28)</f>
        <v>18724.35</v>
      </c>
      <c r="L28" s="6" t="n">
        <f aca="false">IFERROR(ROUND($F28*$G28,-1),"")</f>
        <v>17710</v>
      </c>
      <c r="M28" s="4"/>
      <c r="N28" s="5" t="n">
        <f aca="false">IF($F28="","",IF(N($I28)&gt;0,$F28,0))</f>
        <v>0</v>
      </c>
      <c r="O28" s="6" t="n">
        <f aca="false">IF($F28="","",N($N28)*N($I28))</f>
        <v>0</v>
      </c>
      <c r="P28" s="6" t="str">
        <f aca="false">IF(OR($C28=P$1,$C28="Titan Rocks"),$K28,"")</f>
        <v/>
      </c>
      <c r="Q28" s="6" t="str">
        <f aca="false">IF($C28=Q$1,$K28,"")</f>
        <v/>
      </c>
      <c r="R28" s="5" t="str">
        <f aca="false">IF($C28=Q$1,$F28,"")</f>
        <v/>
      </c>
      <c r="S28" s="6" t="str">
        <f aca="false">IF($C28=S$1,$K28,"")</f>
        <v/>
      </c>
      <c r="T28" s="5" t="str">
        <f aca="false">IF($C28=S$1,$F28,"")</f>
        <v/>
      </c>
      <c r="U28" s="6" t="str">
        <f aca="false">IF($C28=U$1,$K28,"")</f>
        <v/>
      </c>
      <c r="V28" s="5" t="str">
        <f aca="false">IF($C28=U$1,$F28,"")</f>
        <v/>
      </c>
      <c r="W28" s="6" t="str">
        <f aca="false">IF($C28=W$1,$K28,"")</f>
        <v/>
      </c>
      <c r="X28" s="5" t="str">
        <f aca="false">IF($C28=W$1,$F28,"")</f>
        <v/>
      </c>
      <c r="Y28" s="6" t="str">
        <f aca="false">IF($C28=Y$1,$K28,"")</f>
        <v/>
      </c>
      <c r="Z28" s="5" t="str">
        <f aca="false">IF($C28=Y$1,$F28,"")</f>
        <v/>
      </c>
      <c r="AA28" s="6" t="str">
        <f aca="false">IF($C28=AA$1,$K28,"")</f>
        <v/>
      </c>
      <c r="AB28" s="5" t="str">
        <f aca="false">IF($C28=AA$1,$F28,"")</f>
        <v/>
      </c>
      <c r="AC28" s="6" t="str">
        <f aca="false">IF($C28=AC$1,$K28,"")</f>
        <v/>
      </c>
      <c r="AD28" s="5" t="str">
        <f aca="false">IF($C28=AC$1,$F28,"")</f>
        <v/>
      </c>
      <c r="AE28" s="6" t="str">
        <f aca="false">IF($C28=AE$1,$K28,"")</f>
        <v/>
      </c>
      <c r="AF28" s="5" t="str">
        <f aca="false">IF($C28=AE$1,$F28,"")</f>
        <v/>
      </c>
      <c r="AG28" s="6" t="str">
        <f aca="false">IF($C28=AG$1,$K28,"")</f>
        <v/>
      </c>
      <c r="AH28" s="5" t="str">
        <f aca="false">IF($C28=AG$1,$F28,"")</f>
        <v/>
      </c>
      <c r="AI28" s="6" t="str">
        <f aca="false">IF($C28=AI$1,$K28,"")</f>
        <v/>
      </c>
      <c r="AJ28" s="5" t="str">
        <f aca="false">IF($C28=AI$1,$F28,"")</f>
        <v/>
      </c>
      <c r="AK28" s="6" t="str">
        <f aca="false">IF($C28=AK$1,$K28,"")</f>
        <v/>
      </c>
      <c r="AL28" s="5" t="str">
        <f aca="false">IF($C28=AK$1,$F28,"")</f>
        <v/>
      </c>
      <c r="AM28" s="6" t="str">
        <f aca="false">IF($C28=AM$1,$K28,"")</f>
        <v/>
      </c>
      <c r="AN28" s="5" t="str">
        <f aca="false">IF($C28=AM$1,$F28,"")</f>
        <v/>
      </c>
      <c r="AO28" s="6" t="n">
        <f aca="false">IF($C28=AO$1,$K28,"")</f>
        <v>18724.35</v>
      </c>
      <c r="AP28" s="5" t="n">
        <f aca="false">IF($C28=AO$1,$F28,"")</f>
        <v>29.03</v>
      </c>
      <c r="AQ28" s="5" t="n">
        <f aca="false">IF($F28="",0,IF($D28=AQ$1,$F28,0))</f>
        <v>0</v>
      </c>
      <c r="AR28" s="6" t="n">
        <f aca="false">IF($D28=AQ$1,N($K28)-N($L28)-N($O28),0)</f>
        <v>0</v>
      </c>
      <c r="AS28" s="5" t="n">
        <f aca="false">IF($F28="",0,IF($D28=AS$1,$F28,0))</f>
        <v>29.03</v>
      </c>
      <c r="AT28" s="6" t="n">
        <f aca="false">IF($D28=AS$1,N($K28)-N($L28)-N($O28),0)</f>
        <v>1014.35</v>
      </c>
      <c r="AU28" s="5" t="n">
        <f aca="false">IF(N($J28)&gt;0,N($F28),0)</f>
        <v>29.03</v>
      </c>
      <c r="AV28" s="6" t="n">
        <f aca="false">IF(N($J28)&gt;0,$F28*$J28,0)</f>
        <v>580.6</v>
      </c>
    </row>
    <row r="29" customFormat="false" ht="15" hidden="false" customHeight="false" outlineLevel="0" collapsed="false">
      <c r="A29" s="16" t="n">
        <v>45986</v>
      </c>
      <c r="B29" s="4" t="s">
        <v>232</v>
      </c>
      <c r="C29" s="4" t="s">
        <v>27</v>
      </c>
      <c r="D29" s="4" t="s">
        <v>68</v>
      </c>
      <c r="E29" s="4" t="n">
        <f aca="false">E28+1</f>
        <v>27</v>
      </c>
      <c r="F29" s="5" t="n">
        <v>30.3</v>
      </c>
      <c r="G29" s="6" t="n">
        <v>610</v>
      </c>
      <c r="H29" s="6" t="n">
        <v>645</v>
      </c>
      <c r="I29" s="6" t="n">
        <v>0</v>
      </c>
      <c r="J29" s="6" t="n">
        <v>20</v>
      </c>
      <c r="K29" s="6" t="n">
        <f aca="false">IF($F29="","",$F29*$H29)</f>
        <v>19543.5</v>
      </c>
      <c r="L29" s="6" t="n">
        <f aca="false">IFERROR(ROUND($F29*$G29,-1),"")</f>
        <v>18480</v>
      </c>
      <c r="M29" s="4"/>
      <c r="N29" s="5" t="n">
        <f aca="false">IF($F29="","",IF(N($I29)&gt;0,$F29,0))</f>
        <v>0</v>
      </c>
      <c r="O29" s="6" t="n">
        <f aca="false">IF($F29="","",N($N29)*N($I29))</f>
        <v>0</v>
      </c>
      <c r="P29" s="6" t="str">
        <f aca="false">IF(OR($C29=P$1,$C29="Titan Rocks"),$K29,"")</f>
        <v/>
      </c>
      <c r="Q29" s="6" t="str">
        <f aca="false">IF($C29=Q$1,$K29,"")</f>
        <v/>
      </c>
      <c r="R29" s="5" t="str">
        <f aca="false">IF($C29=Q$1,$F29,"")</f>
        <v/>
      </c>
      <c r="S29" s="6" t="str">
        <f aca="false">IF($C29=S$1,$K29,"")</f>
        <v/>
      </c>
      <c r="T29" s="5" t="str">
        <f aca="false">IF($C29=S$1,$F29,"")</f>
        <v/>
      </c>
      <c r="U29" s="6" t="str">
        <f aca="false">IF($C29=U$1,$K29,"")</f>
        <v/>
      </c>
      <c r="V29" s="5" t="str">
        <f aca="false">IF($C29=U$1,$F29,"")</f>
        <v/>
      </c>
      <c r="W29" s="6" t="str">
        <f aca="false">IF($C29=W$1,$K29,"")</f>
        <v/>
      </c>
      <c r="X29" s="5" t="str">
        <f aca="false">IF($C29=W$1,$F29,"")</f>
        <v/>
      </c>
      <c r="Y29" s="6" t="str">
        <f aca="false">IF($C29=Y$1,$K29,"")</f>
        <v/>
      </c>
      <c r="Z29" s="5" t="str">
        <f aca="false">IF($C29=Y$1,$F29,"")</f>
        <v/>
      </c>
      <c r="AA29" s="6" t="str">
        <f aca="false">IF($C29=AA$1,$K29,"")</f>
        <v/>
      </c>
      <c r="AB29" s="5" t="str">
        <f aca="false">IF($C29=AA$1,$F29,"")</f>
        <v/>
      </c>
      <c r="AC29" s="6" t="str">
        <f aca="false">IF($C29=AC$1,$K29,"")</f>
        <v/>
      </c>
      <c r="AD29" s="5" t="str">
        <f aca="false">IF($C29=AC$1,$F29,"")</f>
        <v/>
      </c>
      <c r="AE29" s="6" t="str">
        <f aca="false">IF($C29=AE$1,$K29,"")</f>
        <v/>
      </c>
      <c r="AF29" s="5" t="str">
        <f aca="false">IF($C29=AE$1,$F29,"")</f>
        <v/>
      </c>
      <c r="AG29" s="6" t="str">
        <f aca="false">IF($C29=AG$1,$K29,"")</f>
        <v/>
      </c>
      <c r="AH29" s="5" t="str">
        <f aca="false">IF($C29=AG$1,$F29,"")</f>
        <v/>
      </c>
      <c r="AI29" s="6" t="str">
        <f aca="false">IF($C29=AI$1,$K29,"")</f>
        <v/>
      </c>
      <c r="AJ29" s="5" t="str">
        <f aca="false">IF($C29=AI$1,$F29,"")</f>
        <v/>
      </c>
      <c r="AK29" s="6" t="str">
        <f aca="false">IF($C29=AK$1,$K29,"")</f>
        <v/>
      </c>
      <c r="AL29" s="5" t="str">
        <f aca="false">IF($C29=AK$1,$F29,"")</f>
        <v/>
      </c>
      <c r="AM29" s="6" t="str">
        <f aca="false">IF($C29=AM$1,$K29,"")</f>
        <v/>
      </c>
      <c r="AN29" s="5" t="str">
        <f aca="false">IF($C29=AM$1,$F29,"")</f>
        <v/>
      </c>
      <c r="AO29" s="6" t="n">
        <f aca="false">IF($C29=AO$1,$K29,"")</f>
        <v>19543.5</v>
      </c>
      <c r="AP29" s="5" t="n">
        <f aca="false">IF($C29=AO$1,$F29,"")</f>
        <v>30.3</v>
      </c>
      <c r="AQ29" s="5" t="n">
        <f aca="false">IF($F29="",0,IF($D29=AQ$1,$F29,0))</f>
        <v>0</v>
      </c>
      <c r="AR29" s="6" t="n">
        <f aca="false">IF($D29=AQ$1,N($K29)-N($L29)-N($O29),0)</f>
        <v>0</v>
      </c>
      <c r="AS29" s="5" t="n">
        <f aca="false">IF($F29="",0,IF($D29=AS$1,$F29,0))</f>
        <v>30.3</v>
      </c>
      <c r="AT29" s="6" t="n">
        <f aca="false">IF($D29=AS$1,N($K29)-N($L29)-N($O29),0)</f>
        <v>1063.5</v>
      </c>
      <c r="AU29" s="5" t="n">
        <f aca="false">IF(N($J29)&gt;0,N($F29),0)</f>
        <v>30.3</v>
      </c>
      <c r="AV29" s="6" t="n">
        <f aca="false">IF(N($J29)&gt;0,$F29*$J29,0)</f>
        <v>606</v>
      </c>
    </row>
    <row r="30" customFormat="false" ht="15" hidden="false" customHeight="false" outlineLevel="0" collapsed="false">
      <c r="A30" s="16" t="n">
        <v>45986</v>
      </c>
      <c r="B30" s="4" t="s">
        <v>232</v>
      </c>
      <c r="C30" s="4" t="s">
        <v>27</v>
      </c>
      <c r="D30" s="4" t="s">
        <v>67</v>
      </c>
      <c r="E30" s="4" t="n">
        <f aca="false">E29+1</f>
        <v>28</v>
      </c>
      <c r="F30" s="5" t="n">
        <v>29.9</v>
      </c>
      <c r="G30" s="6" t="n">
        <v>640</v>
      </c>
      <c r="H30" s="6" t="n">
        <v>645</v>
      </c>
      <c r="I30" s="6" t="n">
        <v>0</v>
      </c>
      <c r="J30" s="6" t="n">
        <v>20</v>
      </c>
      <c r="K30" s="6" t="n">
        <f aca="false">IF($F30="","",$F30*$H30)</f>
        <v>19285.5</v>
      </c>
      <c r="L30" s="6" t="n">
        <f aca="false">IFERROR(ROUND($F30*$G30,-1),"")</f>
        <v>19140</v>
      </c>
      <c r="M30" s="4"/>
      <c r="N30" s="5" t="n">
        <f aca="false">IF($F30="","",IF(N($I30)&gt;0,$F30,0))</f>
        <v>0</v>
      </c>
      <c r="O30" s="6" t="n">
        <f aca="false">IF($F30="","",N($N30)*N($I30))</f>
        <v>0</v>
      </c>
      <c r="P30" s="6" t="str">
        <f aca="false">IF(OR($C30=P$1,$C30="Titan Rocks"),$K30,"")</f>
        <v/>
      </c>
      <c r="Q30" s="6" t="str">
        <f aca="false">IF($C30=Q$1,$K30,"")</f>
        <v/>
      </c>
      <c r="R30" s="5" t="str">
        <f aca="false">IF($C30=Q$1,$F30,"")</f>
        <v/>
      </c>
      <c r="S30" s="6" t="str">
        <f aca="false">IF($C30=S$1,$K30,"")</f>
        <v/>
      </c>
      <c r="T30" s="5" t="str">
        <f aca="false">IF($C30=S$1,$F30,"")</f>
        <v/>
      </c>
      <c r="U30" s="6" t="str">
        <f aca="false">IF($C30=U$1,$K30,"")</f>
        <v/>
      </c>
      <c r="V30" s="5" t="str">
        <f aca="false">IF($C30=U$1,$F30,"")</f>
        <v/>
      </c>
      <c r="W30" s="6" t="str">
        <f aca="false">IF($C30=W$1,$K30,"")</f>
        <v/>
      </c>
      <c r="X30" s="5" t="str">
        <f aca="false">IF($C30=W$1,$F30,"")</f>
        <v/>
      </c>
      <c r="Y30" s="6" t="str">
        <f aca="false">IF($C30=Y$1,$K30,"")</f>
        <v/>
      </c>
      <c r="Z30" s="5" t="str">
        <f aca="false">IF($C30=Y$1,$F30,"")</f>
        <v/>
      </c>
      <c r="AA30" s="6" t="str">
        <f aca="false">IF($C30=AA$1,$K30,"")</f>
        <v/>
      </c>
      <c r="AB30" s="5" t="str">
        <f aca="false">IF($C30=AA$1,$F30,"")</f>
        <v/>
      </c>
      <c r="AC30" s="6" t="str">
        <f aca="false">IF($C30=AC$1,$K30,"")</f>
        <v/>
      </c>
      <c r="AD30" s="5" t="str">
        <f aca="false">IF($C30=AC$1,$F30,"")</f>
        <v/>
      </c>
      <c r="AE30" s="6" t="str">
        <f aca="false">IF($C30=AE$1,$K30,"")</f>
        <v/>
      </c>
      <c r="AF30" s="5" t="str">
        <f aca="false">IF($C30=AE$1,$F30,"")</f>
        <v/>
      </c>
      <c r="AG30" s="6" t="str">
        <f aca="false">IF($C30=AG$1,$K30,"")</f>
        <v/>
      </c>
      <c r="AH30" s="5" t="str">
        <f aca="false">IF($C30=AG$1,$F30,"")</f>
        <v/>
      </c>
      <c r="AI30" s="6" t="str">
        <f aca="false">IF($C30=AI$1,$K30,"")</f>
        <v/>
      </c>
      <c r="AJ30" s="5" t="str">
        <f aca="false">IF($C30=AI$1,$F30,"")</f>
        <v/>
      </c>
      <c r="AK30" s="6" t="str">
        <f aca="false">IF($C30=AK$1,$K30,"")</f>
        <v/>
      </c>
      <c r="AL30" s="5" t="str">
        <f aca="false">IF($C30=AK$1,$F30,"")</f>
        <v/>
      </c>
      <c r="AM30" s="6" t="str">
        <f aca="false">IF($C30=AM$1,$K30,"")</f>
        <v/>
      </c>
      <c r="AN30" s="5" t="str">
        <f aca="false">IF($C30=AM$1,$F30,"")</f>
        <v/>
      </c>
      <c r="AO30" s="6" t="n">
        <f aca="false">IF($C30=AO$1,$K30,"")</f>
        <v>19285.5</v>
      </c>
      <c r="AP30" s="5" t="n">
        <f aca="false">IF($C30=AO$1,$F30,"")</f>
        <v>29.9</v>
      </c>
      <c r="AQ30" s="5" t="n">
        <f aca="false">IF($F30="",0,IF($D30=AQ$1,$F30,0))</f>
        <v>29.9</v>
      </c>
      <c r="AR30" s="6" t="n">
        <f aca="false">IF($D30=AQ$1,N($K30)-N($L30)-N($O30),0)</f>
        <v>145.5</v>
      </c>
      <c r="AS30" s="5" t="n">
        <f aca="false">IF($F30="",0,IF($D30=AS$1,$F30,0))</f>
        <v>0</v>
      </c>
      <c r="AT30" s="6" t="n">
        <f aca="false">IF($D30=AS$1,N($K30)-N($L30)-N($O30),0)</f>
        <v>0</v>
      </c>
      <c r="AU30" s="5" t="n">
        <f aca="false">IF(N($J30)&gt;0,N($F30),0)</f>
        <v>29.9</v>
      </c>
      <c r="AV30" s="6" t="n">
        <f aca="false">IF(N($J30)&gt;0,$F30*$J30,0)</f>
        <v>598</v>
      </c>
    </row>
    <row r="31" customFormat="false" ht="15" hidden="false" customHeight="false" outlineLevel="0" collapsed="false">
      <c r="A31" s="16" t="n">
        <v>45986</v>
      </c>
      <c r="B31" s="4" t="s">
        <v>232</v>
      </c>
      <c r="C31" s="4" t="s">
        <v>27</v>
      </c>
      <c r="D31" s="4" t="s">
        <v>68</v>
      </c>
      <c r="E31" s="4" t="n">
        <f aca="false">E30+1</f>
        <v>29</v>
      </c>
      <c r="F31" s="5" t="n">
        <v>32.28</v>
      </c>
      <c r="G31" s="6" t="n">
        <v>610</v>
      </c>
      <c r="H31" s="6" t="n">
        <v>645</v>
      </c>
      <c r="I31" s="6" t="n">
        <v>0</v>
      </c>
      <c r="J31" s="6" t="n">
        <v>20</v>
      </c>
      <c r="K31" s="6" t="n">
        <f aca="false">IF($F31="","",$F31*$H31)</f>
        <v>20820.6</v>
      </c>
      <c r="L31" s="6" t="n">
        <f aca="false">IFERROR(ROUND($F31*$G31,-1),"")</f>
        <v>19690</v>
      </c>
      <c r="M31" s="4"/>
      <c r="N31" s="5" t="n">
        <f aca="false">IF($F31="","",IF(N($I31)&gt;0,$F31,0))</f>
        <v>0</v>
      </c>
      <c r="O31" s="6" t="n">
        <f aca="false">IF($F31="","",N($N31)*N($I31))</f>
        <v>0</v>
      </c>
      <c r="P31" s="6" t="str">
        <f aca="false">IF(OR($C31=P$1,$C31="Titan Rocks"),$K31,"")</f>
        <v/>
      </c>
      <c r="Q31" s="6" t="str">
        <f aca="false">IF($C31=Q$1,$K31,"")</f>
        <v/>
      </c>
      <c r="R31" s="5" t="str">
        <f aca="false">IF($C31=Q$1,$F31,"")</f>
        <v/>
      </c>
      <c r="S31" s="6" t="str">
        <f aca="false">IF($C31=S$1,$K31,"")</f>
        <v/>
      </c>
      <c r="T31" s="5" t="str">
        <f aca="false">IF($C31=S$1,$F31,"")</f>
        <v/>
      </c>
      <c r="U31" s="6" t="str">
        <f aca="false">IF($C31=U$1,$K31,"")</f>
        <v/>
      </c>
      <c r="V31" s="5" t="str">
        <f aca="false">IF($C31=U$1,$F31,"")</f>
        <v/>
      </c>
      <c r="W31" s="6" t="str">
        <f aca="false">IF($C31=W$1,$K31,"")</f>
        <v/>
      </c>
      <c r="X31" s="5" t="str">
        <f aca="false">IF($C31=W$1,$F31,"")</f>
        <v/>
      </c>
      <c r="Y31" s="6" t="str">
        <f aca="false">IF($C31=Y$1,$K31,"")</f>
        <v/>
      </c>
      <c r="Z31" s="5" t="str">
        <f aca="false">IF($C31=Y$1,$F31,"")</f>
        <v/>
      </c>
      <c r="AA31" s="6" t="str">
        <f aca="false">IF($C31=AA$1,$K31,"")</f>
        <v/>
      </c>
      <c r="AB31" s="5" t="str">
        <f aca="false">IF($C31=AA$1,$F31,"")</f>
        <v/>
      </c>
      <c r="AC31" s="6" t="str">
        <f aca="false">IF($C31=AC$1,$K31,"")</f>
        <v/>
      </c>
      <c r="AD31" s="5" t="str">
        <f aca="false">IF($C31=AC$1,$F31,"")</f>
        <v/>
      </c>
      <c r="AE31" s="6" t="str">
        <f aca="false">IF($C31=AE$1,$K31,"")</f>
        <v/>
      </c>
      <c r="AF31" s="5" t="str">
        <f aca="false">IF($C31=AE$1,$F31,"")</f>
        <v/>
      </c>
      <c r="AG31" s="6" t="str">
        <f aca="false">IF($C31=AG$1,$K31,"")</f>
        <v/>
      </c>
      <c r="AH31" s="5" t="str">
        <f aca="false">IF($C31=AG$1,$F31,"")</f>
        <v/>
      </c>
      <c r="AI31" s="6" t="str">
        <f aca="false">IF($C31=AI$1,$K31,"")</f>
        <v/>
      </c>
      <c r="AJ31" s="5" t="str">
        <f aca="false">IF($C31=AI$1,$F31,"")</f>
        <v/>
      </c>
      <c r="AK31" s="6" t="str">
        <f aca="false">IF($C31=AK$1,$K31,"")</f>
        <v/>
      </c>
      <c r="AL31" s="5" t="str">
        <f aca="false">IF($C31=AK$1,$F31,"")</f>
        <v/>
      </c>
      <c r="AM31" s="6" t="str">
        <f aca="false">IF($C31=AM$1,$K31,"")</f>
        <v/>
      </c>
      <c r="AN31" s="5" t="str">
        <f aca="false">IF($C31=AM$1,$F31,"")</f>
        <v/>
      </c>
      <c r="AO31" s="6" t="n">
        <f aca="false">IF($C31=AO$1,$K31,"")</f>
        <v>20820.6</v>
      </c>
      <c r="AP31" s="5" t="n">
        <f aca="false">IF($C31=AO$1,$F31,"")</f>
        <v>32.28</v>
      </c>
      <c r="AQ31" s="5" t="n">
        <f aca="false">IF($F31="",0,IF($D31=AQ$1,$F31,0))</f>
        <v>0</v>
      </c>
      <c r="AR31" s="6" t="n">
        <f aca="false">IF($D31=AQ$1,N($K31)-N($L31)-N($O31),0)</f>
        <v>0</v>
      </c>
      <c r="AS31" s="5" t="n">
        <f aca="false">IF($F31="",0,IF($D31=AS$1,$F31,0))</f>
        <v>32.28</v>
      </c>
      <c r="AT31" s="6" t="n">
        <f aca="false">IF($D31=AS$1,N($K31)-N($L31)-N($O31),0)</f>
        <v>1130.6</v>
      </c>
      <c r="AU31" s="5" t="n">
        <f aca="false">IF(N($J31)&gt;0,N($F31),0)</f>
        <v>32.28</v>
      </c>
      <c r="AV31" s="6" t="n">
        <f aca="false">IF(N($J31)&gt;0,$F31*$J31,0)</f>
        <v>645.6</v>
      </c>
    </row>
    <row r="32" customFormat="false" ht="15" hidden="false" customHeight="false" outlineLevel="0" collapsed="false">
      <c r="A32" s="16" t="n">
        <v>45986</v>
      </c>
      <c r="B32" s="4" t="s">
        <v>232</v>
      </c>
      <c r="C32" s="4" t="s">
        <v>27</v>
      </c>
      <c r="D32" s="4" t="s">
        <v>67</v>
      </c>
      <c r="E32" s="4" t="n">
        <f aca="false">E31+1</f>
        <v>30</v>
      </c>
      <c r="F32" s="5" t="n">
        <v>30.55</v>
      </c>
      <c r="G32" s="6" t="n">
        <v>640</v>
      </c>
      <c r="H32" s="6" t="n">
        <v>645</v>
      </c>
      <c r="I32" s="6" t="n">
        <v>0</v>
      </c>
      <c r="J32" s="6" t="n">
        <v>20</v>
      </c>
      <c r="K32" s="6" t="n">
        <f aca="false">IF($F32="","",$F32*$H32)</f>
        <v>19704.75</v>
      </c>
      <c r="L32" s="6" t="n">
        <f aca="false">IFERROR(ROUND($F32*$G32,-1),"")</f>
        <v>19550</v>
      </c>
      <c r="M32" s="4"/>
      <c r="N32" s="5" t="n">
        <f aca="false">IF($F32="","",IF(N($I32)&gt;0,$F32,0))</f>
        <v>0</v>
      </c>
      <c r="O32" s="6" t="n">
        <f aca="false">IF($F32="","",N($N32)*N($I32))</f>
        <v>0</v>
      </c>
      <c r="P32" s="6" t="str">
        <f aca="false">IF(OR($C32=P$1,$C32="Titan Rocks"),$K32,"")</f>
        <v/>
      </c>
      <c r="Q32" s="6" t="str">
        <f aca="false">IF($C32=Q$1,$K32,"")</f>
        <v/>
      </c>
      <c r="R32" s="5" t="str">
        <f aca="false">IF($C32=Q$1,$F32,"")</f>
        <v/>
      </c>
      <c r="S32" s="6" t="str">
        <f aca="false">IF($C32=S$1,$K32,"")</f>
        <v/>
      </c>
      <c r="T32" s="5" t="str">
        <f aca="false">IF($C32=S$1,$F32,"")</f>
        <v/>
      </c>
      <c r="U32" s="6" t="str">
        <f aca="false">IF($C32=U$1,$K32,"")</f>
        <v/>
      </c>
      <c r="V32" s="5" t="str">
        <f aca="false">IF($C32=U$1,$F32,"")</f>
        <v/>
      </c>
      <c r="W32" s="6" t="str">
        <f aca="false">IF($C32=W$1,$K32,"")</f>
        <v/>
      </c>
      <c r="X32" s="5" t="str">
        <f aca="false">IF($C32=W$1,$F32,"")</f>
        <v/>
      </c>
      <c r="Y32" s="6" t="str">
        <f aca="false">IF($C32=Y$1,$K32,"")</f>
        <v/>
      </c>
      <c r="Z32" s="5" t="str">
        <f aca="false">IF($C32=Y$1,$F32,"")</f>
        <v/>
      </c>
      <c r="AA32" s="6" t="str">
        <f aca="false">IF($C32=AA$1,$K32,"")</f>
        <v/>
      </c>
      <c r="AB32" s="5" t="str">
        <f aca="false">IF($C32=AA$1,$F32,"")</f>
        <v/>
      </c>
      <c r="AC32" s="6" t="str">
        <f aca="false">IF($C32=AC$1,$K32,"")</f>
        <v/>
      </c>
      <c r="AD32" s="5" t="str">
        <f aca="false">IF($C32=AC$1,$F32,"")</f>
        <v/>
      </c>
      <c r="AE32" s="6" t="str">
        <f aca="false">IF($C32=AE$1,$K32,"")</f>
        <v/>
      </c>
      <c r="AF32" s="5" t="str">
        <f aca="false">IF($C32=AE$1,$F32,"")</f>
        <v/>
      </c>
      <c r="AG32" s="6" t="str">
        <f aca="false">IF($C32=AG$1,$K32,"")</f>
        <v/>
      </c>
      <c r="AH32" s="5" t="str">
        <f aca="false">IF($C32=AG$1,$F32,"")</f>
        <v/>
      </c>
      <c r="AI32" s="6" t="str">
        <f aca="false">IF($C32=AI$1,$K32,"")</f>
        <v/>
      </c>
      <c r="AJ32" s="5" t="str">
        <f aca="false">IF($C32=AI$1,$F32,"")</f>
        <v/>
      </c>
      <c r="AK32" s="6" t="str">
        <f aca="false">IF($C32=AK$1,$K32,"")</f>
        <v/>
      </c>
      <c r="AL32" s="5" t="str">
        <f aca="false">IF($C32=AK$1,$F32,"")</f>
        <v/>
      </c>
      <c r="AM32" s="6" t="str">
        <f aca="false">IF($C32=AM$1,$K32,"")</f>
        <v/>
      </c>
      <c r="AN32" s="5" t="str">
        <f aca="false">IF($C32=AM$1,$F32,"")</f>
        <v/>
      </c>
      <c r="AO32" s="6" t="n">
        <f aca="false">IF($C32=AO$1,$K32,"")</f>
        <v>19704.75</v>
      </c>
      <c r="AP32" s="5" t="n">
        <f aca="false">IF($C32=AO$1,$F32,"")</f>
        <v>30.55</v>
      </c>
      <c r="AQ32" s="5" t="n">
        <f aca="false">IF($F32="",0,IF($D32=AQ$1,$F32,0))</f>
        <v>30.55</v>
      </c>
      <c r="AR32" s="6" t="n">
        <f aca="false">IF($D32=AQ$1,N($K32)-N($L32)-N($O32),0)</f>
        <v>154.75</v>
      </c>
      <c r="AS32" s="5" t="n">
        <f aca="false">IF($F32="",0,IF($D32=AS$1,$F32,0))</f>
        <v>0</v>
      </c>
      <c r="AT32" s="6" t="n">
        <f aca="false">IF($D32=AS$1,N($K32)-N($L32)-N($O32),0)</f>
        <v>0</v>
      </c>
      <c r="AU32" s="5" t="n">
        <f aca="false">IF(N($J32)&gt;0,N($F32),0)</f>
        <v>30.55</v>
      </c>
      <c r="AV32" s="6" t="n">
        <f aca="false">IF(N($J32)&gt;0,$F32*$J32,0)</f>
        <v>611</v>
      </c>
    </row>
    <row r="33" customFormat="false" ht="15" hidden="false" customHeight="false" outlineLevel="0" collapsed="false">
      <c r="A33" s="16" t="n">
        <v>45986</v>
      </c>
      <c r="B33" s="4" t="s">
        <v>232</v>
      </c>
      <c r="C33" s="4" t="s">
        <v>27</v>
      </c>
      <c r="D33" s="4" t="s">
        <v>68</v>
      </c>
      <c r="E33" s="4" t="n">
        <f aca="false">E32+1</f>
        <v>31</v>
      </c>
      <c r="F33" s="5" t="n">
        <v>31.24</v>
      </c>
      <c r="G33" s="6" t="n">
        <v>610</v>
      </c>
      <c r="H33" s="6" t="n">
        <v>645</v>
      </c>
      <c r="I33" s="6" t="n">
        <v>0</v>
      </c>
      <c r="J33" s="6" t="n">
        <v>20</v>
      </c>
      <c r="K33" s="6" t="n">
        <f aca="false">IF($F33="","",$F33*$H33)</f>
        <v>20149.8</v>
      </c>
      <c r="L33" s="6" t="n">
        <f aca="false">IFERROR(ROUND($F33*$G33,-1),"")</f>
        <v>19060</v>
      </c>
      <c r="M33" s="4"/>
      <c r="N33" s="5" t="n">
        <f aca="false">IF($F33="","",IF(N($I33)&gt;0,$F33,0))</f>
        <v>0</v>
      </c>
      <c r="O33" s="6" t="n">
        <f aca="false">IF($F33="","",N($N33)*N($I33))</f>
        <v>0</v>
      </c>
      <c r="P33" s="6" t="str">
        <f aca="false">IF(OR($C33=P$1,$C33="Titan Rocks"),$K33,"")</f>
        <v/>
      </c>
      <c r="Q33" s="6" t="str">
        <f aca="false">IF($C33=Q$1,$K33,"")</f>
        <v/>
      </c>
      <c r="R33" s="5" t="str">
        <f aca="false">IF($C33=Q$1,$F33,"")</f>
        <v/>
      </c>
      <c r="S33" s="6" t="str">
        <f aca="false">IF($C33=S$1,$K33,"")</f>
        <v/>
      </c>
      <c r="T33" s="5" t="str">
        <f aca="false">IF($C33=S$1,$F33,"")</f>
        <v/>
      </c>
      <c r="U33" s="6" t="str">
        <f aca="false">IF($C33=U$1,$K33,"")</f>
        <v/>
      </c>
      <c r="V33" s="5" t="str">
        <f aca="false">IF($C33=U$1,$F33,"")</f>
        <v/>
      </c>
      <c r="W33" s="6" t="str">
        <f aca="false">IF($C33=W$1,$K33,"")</f>
        <v/>
      </c>
      <c r="X33" s="5" t="str">
        <f aca="false">IF($C33=W$1,$F33,"")</f>
        <v/>
      </c>
      <c r="Y33" s="6" t="str">
        <f aca="false">IF($C33=Y$1,$K33,"")</f>
        <v/>
      </c>
      <c r="Z33" s="5" t="str">
        <f aca="false">IF($C33=Y$1,$F33,"")</f>
        <v/>
      </c>
      <c r="AA33" s="6" t="str">
        <f aca="false">IF($C33=AA$1,$K33,"")</f>
        <v/>
      </c>
      <c r="AB33" s="5" t="str">
        <f aca="false">IF($C33=AA$1,$F33,"")</f>
        <v/>
      </c>
      <c r="AC33" s="6" t="str">
        <f aca="false">IF($C33=AC$1,$K33,"")</f>
        <v/>
      </c>
      <c r="AD33" s="5" t="str">
        <f aca="false">IF($C33=AC$1,$F33,"")</f>
        <v/>
      </c>
      <c r="AE33" s="6" t="str">
        <f aca="false">IF($C33=AE$1,$K33,"")</f>
        <v/>
      </c>
      <c r="AF33" s="5" t="str">
        <f aca="false">IF($C33=AE$1,$F33,"")</f>
        <v/>
      </c>
      <c r="AG33" s="6" t="str">
        <f aca="false">IF($C33=AG$1,$K33,"")</f>
        <v/>
      </c>
      <c r="AH33" s="5" t="str">
        <f aca="false">IF($C33=AG$1,$F33,"")</f>
        <v/>
      </c>
      <c r="AI33" s="6" t="str">
        <f aca="false">IF($C33=AI$1,$K33,"")</f>
        <v/>
      </c>
      <c r="AJ33" s="5" t="str">
        <f aca="false">IF($C33=AI$1,$F33,"")</f>
        <v/>
      </c>
      <c r="AK33" s="6" t="str">
        <f aca="false">IF($C33=AK$1,$K33,"")</f>
        <v/>
      </c>
      <c r="AL33" s="5" t="str">
        <f aca="false">IF($C33=AK$1,$F33,"")</f>
        <v/>
      </c>
      <c r="AM33" s="6" t="str">
        <f aca="false">IF($C33=AM$1,$K33,"")</f>
        <v/>
      </c>
      <c r="AN33" s="5" t="str">
        <f aca="false">IF($C33=AM$1,$F33,"")</f>
        <v/>
      </c>
      <c r="AO33" s="6" t="n">
        <f aca="false">IF($C33=AO$1,$K33,"")</f>
        <v>20149.8</v>
      </c>
      <c r="AP33" s="5" t="n">
        <f aca="false">IF($C33=AO$1,$F33,"")</f>
        <v>31.24</v>
      </c>
      <c r="AQ33" s="5" t="n">
        <f aca="false">IF($F33="",0,IF($D33=AQ$1,$F33,0))</f>
        <v>0</v>
      </c>
      <c r="AR33" s="6" t="n">
        <f aca="false">IF($D33=AQ$1,N($K33)-N($L33)-N($O33),0)</f>
        <v>0</v>
      </c>
      <c r="AS33" s="5" t="n">
        <f aca="false">IF($F33="",0,IF($D33=AS$1,$F33,0))</f>
        <v>31.24</v>
      </c>
      <c r="AT33" s="6" t="n">
        <f aca="false">IF($D33=AS$1,N($K33)-N($L33)-N($O33),0)</f>
        <v>1089.8</v>
      </c>
      <c r="AU33" s="5" t="n">
        <f aca="false">IF(N($J33)&gt;0,N($F33),0)</f>
        <v>31.24</v>
      </c>
      <c r="AV33" s="6" t="n">
        <f aca="false">IF(N($J33)&gt;0,$F33*$J33,0)</f>
        <v>624.8</v>
      </c>
    </row>
    <row r="34" customFormat="false" ht="15" hidden="false" customHeight="false" outlineLevel="0" collapsed="false">
      <c r="A34" s="16" t="n">
        <v>45986</v>
      </c>
      <c r="B34" s="4" t="s">
        <v>232</v>
      </c>
      <c r="C34" s="4" t="s">
        <v>27</v>
      </c>
      <c r="D34" s="4" t="s">
        <v>68</v>
      </c>
      <c r="E34" s="4" t="n">
        <f aca="false">E33+1</f>
        <v>32</v>
      </c>
      <c r="F34" s="5" t="n">
        <v>31.56</v>
      </c>
      <c r="G34" s="6" t="n">
        <v>610</v>
      </c>
      <c r="H34" s="6" t="n">
        <v>645</v>
      </c>
      <c r="I34" s="6" t="n">
        <v>0</v>
      </c>
      <c r="J34" s="6" t="n">
        <v>20</v>
      </c>
      <c r="K34" s="6" t="n">
        <f aca="false">IF($F34="","",$F34*$H34)</f>
        <v>20356.2</v>
      </c>
      <c r="L34" s="6" t="n">
        <f aca="false">IFERROR(ROUND($F34*$G34,-1),"")</f>
        <v>19250</v>
      </c>
      <c r="M34" s="4"/>
      <c r="N34" s="5" t="n">
        <f aca="false">IF($F34="","",IF(N($I34)&gt;0,$F34,0))</f>
        <v>0</v>
      </c>
      <c r="O34" s="6" t="n">
        <f aca="false">IF($F34="","",N($N34)*N($I34))</f>
        <v>0</v>
      </c>
      <c r="P34" s="6" t="str">
        <f aca="false">IF(OR($C34=P$1,$C34="Titan Rocks"),$K34,"")</f>
        <v/>
      </c>
      <c r="Q34" s="6" t="str">
        <f aca="false">IF($C34=Q$1,$K34,"")</f>
        <v/>
      </c>
      <c r="R34" s="5" t="str">
        <f aca="false">IF($C34=Q$1,$F34,"")</f>
        <v/>
      </c>
      <c r="S34" s="6" t="str">
        <f aca="false">IF($C34=S$1,$K34,"")</f>
        <v/>
      </c>
      <c r="T34" s="5" t="str">
        <f aca="false">IF($C34=S$1,$F34,"")</f>
        <v/>
      </c>
      <c r="U34" s="6" t="str">
        <f aca="false">IF($C34=U$1,$K34,"")</f>
        <v/>
      </c>
      <c r="V34" s="5" t="str">
        <f aca="false">IF($C34=U$1,$F34,"")</f>
        <v/>
      </c>
      <c r="W34" s="6" t="str">
        <f aca="false">IF($C34=W$1,$K34,"")</f>
        <v/>
      </c>
      <c r="X34" s="5" t="str">
        <f aca="false">IF($C34=W$1,$F34,"")</f>
        <v/>
      </c>
      <c r="Y34" s="6" t="str">
        <f aca="false">IF($C34=Y$1,$K34,"")</f>
        <v/>
      </c>
      <c r="Z34" s="5" t="str">
        <f aca="false">IF($C34=Y$1,$F34,"")</f>
        <v/>
      </c>
      <c r="AA34" s="6" t="str">
        <f aca="false">IF($C34=AA$1,$K34,"")</f>
        <v/>
      </c>
      <c r="AB34" s="5" t="str">
        <f aca="false">IF($C34=AA$1,$F34,"")</f>
        <v/>
      </c>
      <c r="AC34" s="6" t="str">
        <f aca="false">IF($C34=AC$1,$K34,"")</f>
        <v/>
      </c>
      <c r="AD34" s="5" t="str">
        <f aca="false">IF($C34=AC$1,$F34,"")</f>
        <v/>
      </c>
      <c r="AE34" s="6" t="str">
        <f aca="false">IF($C34=AE$1,$K34,"")</f>
        <v/>
      </c>
      <c r="AF34" s="5" t="str">
        <f aca="false">IF($C34=AE$1,$F34,"")</f>
        <v/>
      </c>
      <c r="AG34" s="6" t="str">
        <f aca="false">IF($C34=AG$1,$K34,"")</f>
        <v/>
      </c>
      <c r="AH34" s="5" t="str">
        <f aca="false">IF($C34=AG$1,$F34,"")</f>
        <v/>
      </c>
      <c r="AI34" s="6" t="str">
        <f aca="false">IF($C34=AI$1,$K34,"")</f>
        <v/>
      </c>
      <c r="AJ34" s="5" t="str">
        <f aca="false">IF($C34=AI$1,$F34,"")</f>
        <v/>
      </c>
      <c r="AK34" s="6" t="str">
        <f aca="false">IF($C34=AK$1,$K34,"")</f>
        <v/>
      </c>
      <c r="AL34" s="5" t="str">
        <f aca="false">IF($C34=AK$1,$F34,"")</f>
        <v/>
      </c>
      <c r="AM34" s="6" t="str">
        <f aca="false">IF($C34=AM$1,$K34,"")</f>
        <v/>
      </c>
      <c r="AN34" s="5" t="str">
        <f aca="false">IF($C34=AM$1,$F34,"")</f>
        <v/>
      </c>
      <c r="AO34" s="6" t="n">
        <f aca="false">IF($C34=AO$1,$K34,"")</f>
        <v>20356.2</v>
      </c>
      <c r="AP34" s="5" t="n">
        <f aca="false">IF($C34=AO$1,$F34,"")</f>
        <v>31.56</v>
      </c>
      <c r="AQ34" s="5" t="n">
        <f aca="false">IF($F34="",0,IF($D34=AQ$1,$F34,0))</f>
        <v>0</v>
      </c>
      <c r="AR34" s="6" t="n">
        <f aca="false">IF($D34=AQ$1,N($K34)-N($L34)-N($O34),0)</f>
        <v>0</v>
      </c>
      <c r="AS34" s="5" t="n">
        <f aca="false">IF($F34="",0,IF($D34=AS$1,$F34,0))</f>
        <v>31.56</v>
      </c>
      <c r="AT34" s="6" t="n">
        <f aca="false">IF($D34=AS$1,N($K34)-N($L34)-N($O34),0)</f>
        <v>1106.2</v>
      </c>
      <c r="AU34" s="5" t="n">
        <f aca="false">IF(N($J34)&gt;0,N($F34),0)</f>
        <v>31.56</v>
      </c>
      <c r="AV34" s="6" t="n">
        <f aca="false">IF(N($J34)&gt;0,$F34*$J34,0)</f>
        <v>631.2</v>
      </c>
    </row>
    <row r="35" customFormat="false" ht="15" hidden="false" customHeight="false" outlineLevel="0" collapsed="false">
      <c r="A35" s="16" t="n">
        <v>45986</v>
      </c>
      <c r="B35" s="4" t="s">
        <v>232</v>
      </c>
      <c r="C35" s="4" t="s">
        <v>27</v>
      </c>
      <c r="D35" s="4" t="s">
        <v>68</v>
      </c>
      <c r="E35" s="4" t="n">
        <f aca="false">E34+1</f>
        <v>33</v>
      </c>
      <c r="F35" s="5" t="n">
        <v>31.62</v>
      </c>
      <c r="G35" s="6" t="n">
        <v>610</v>
      </c>
      <c r="H35" s="6" t="n">
        <v>645</v>
      </c>
      <c r="I35" s="6" t="n">
        <v>0</v>
      </c>
      <c r="J35" s="6" t="n">
        <v>20</v>
      </c>
      <c r="K35" s="6" t="n">
        <f aca="false">IF($F35="","",$F35*$H35)</f>
        <v>20394.9</v>
      </c>
      <c r="L35" s="6" t="n">
        <f aca="false">IFERROR(ROUND($F35*$G35,-1),"")</f>
        <v>19290</v>
      </c>
      <c r="M35" s="4"/>
      <c r="N35" s="5" t="n">
        <f aca="false">IF($F35="","",IF(N($I35)&gt;0,$F35,0))</f>
        <v>0</v>
      </c>
      <c r="O35" s="6" t="n">
        <f aca="false">IF($F35="","",N($N35)*N($I35))</f>
        <v>0</v>
      </c>
      <c r="P35" s="6" t="str">
        <f aca="false">IF(OR($C35=P$1,$C35="Titan Rocks"),$K35,"")</f>
        <v/>
      </c>
      <c r="Q35" s="6" t="str">
        <f aca="false">IF($C35=Q$1,$K35,"")</f>
        <v/>
      </c>
      <c r="R35" s="5" t="str">
        <f aca="false">IF($C35=Q$1,$F35,"")</f>
        <v/>
      </c>
      <c r="S35" s="6" t="str">
        <f aca="false">IF($C35=S$1,$K35,"")</f>
        <v/>
      </c>
      <c r="T35" s="5" t="str">
        <f aca="false">IF($C35=S$1,$F35,"")</f>
        <v/>
      </c>
      <c r="U35" s="6" t="str">
        <f aca="false">IF($C35=U$1,$K35,"")</f>
        <v/>
      </c>
      <c r="V35" s="5" t="str">
        <f aca="false">IF($C35=U$1,$F35,"")</f>
        <v/>
      </c>
      <c r="W35" s="6" t="str">
        <f aca="false">IF($C35=W$1,$K35,"")</f>
        <v/>
      </c>
      <c r="X35" s="5" t="str">
        <f aca="false">IF($C35=W$1,$F35,"")</f>
        <v/>
      </c>
      <c r="Y35" s="6" t="str">
        <f aca="false">IF($C35=Y$1,$K35,"")</f>
        <v/>
      </c>
      <c r="Z35" s="5" t="str">
        <f aca="false">IF($C35=Y$1,$F35,"")</f>
        <v/>
      </c>
      <c r="AA35" s="6" t="str">
        <f aca="false">IF($C35=AA$1,$K35,"")</f>
        <v/>
      </c>
      <c r="AB35" s="5" t="str">
        <f aca="false">IF($C35=AA$1,$F35,"")</f>
        <v/>
      </c>
      <c r="AC35" s="6" t="str">
        <f aca="false">IF($C35=AC$1,$K35,"")</f>
        <v/>
      </c>
      <c r="AD35" s="5" t="str">
        <f aca="false">IF($C35=AC$1,$F35,"")</f>
        <v/>
      </c>
      <c r="AE35" s="6" t="str">
        <f aca="false">IF($C35=AE$1,$K35,"")</f>
        <v/>
      </c>
      <c r="AF35" s="5" t="str">
        <f aca="false">IF($C35=AE$1,$F35,"")</f>
        <v/>
      </c>
      <c r="AG35" s="6" t="str">
        <f aca="false">IF($C35=AG$1,$K35,"")</f>
        <v/>
      </c>
      <c r="AH35" s="5" t="str">
        <f aca="false">IF($C35=AG$1,$F35,"")</f>
        <v/>
      </c>
      <c r="AI35" s="6" t="str">
        <f aca="false">IF($C35=AI$1,$K35,"")</f>
        <v/>
      </c>
      <c r="AJ35" s="5" t="str">
        <f aca="false">IF($C35=AI$1,$F35,"")</f>
        <v/>
      </c>
      <c r="AK35" s="6" t="str">
        <f aca="false">IF($C35=AK$1,$K35,"")</f>
        <v/>
      </c>
      <c r="AL35" s="5" t="str">
        <f aca="false">IF($C35=AK$1,$F35,"")</f>
        <v/>
      </c>
      <c r="AM35" s="6" t="str">
        <f aca="false">IF($C35=AM$1,$K35,"")</f>
        <v/>
      </c>
      <c r="AN35" s="5" t="str">
        <f aca="false">IF($C35=AM$1,$F35,"")</f>
        <v/>
      </c>
      <c r="AO35" s="6" t="n">
        <f aca="false">IF($C35=AO$1,$K35,"")</f>
        <v>20394.9</v>
      </c>
      <c r="AP35" s="5" t="n">
        <f aca="false">IF($C35=AO$1,$F35,"")</f>
        <v>31.62</v>
      </c>
      <c r="AQ35" s="5" t="n">
        <f aca="false">IF($F35="",0,IF($D35=AQ$1,$F35,0))</f>
        <v>0</v>
      </c>
      <c r="AR35" s="6" t="n">
        <f aca="false">IF($D35=AQ$1,N($K35)-N($L35)-N($O35),0)</f>
        <v>0</v>
      </c>
      <c r="AS35" s="5" t="n">
        <f aca="false">IF($F35="",0,IF($D35=AS$1,$F35,0))</f>
        <v>31.62</v>
      </c>
      <c r="AT35" s="6" t="n">
        <f aca="false">IF($D35=AS$1,N($K35)-N($L35)-N($O35),0)</f>
        <v>1104.9</v>
      </c>
      <c r="AU35" s="5" t="n">
        <f aca="false">IF(N($J35)&gt;0,N($F35),0)</f>
        <v>31.62</v>
      </c>
      <c r="AV35" s="6" t="n">
        <f aca="false">IF(N($J35)&gt;0,$F35*$J35,0)</f>
        <v>632.4</v>
      </c>
    </row>
    <row r="36" customFormat="false" ht="15" hidden="false" customHeight="false" outlineLevel="0" collapsed="false">
      <c r="A36" s="16" t="n">
        <v>45986</v>
      </c>
      <c r="B36" s="4" t="s">
        <v>232</v>
      </c>
      <c r="C36" s="4" t="s">
        <v>27</v>
      </c>
      <c r="D36" s="4" t="s">
        <v>68</v>
      </c>
      <c r="E36" s="4" t="n">
        <f aca="false">E35+1</f>
        <v>34</v>
      </c>
      <c r="F36" s="5" t="n">
        <v>32.64</v>
      </c>
      <c r="G36" s="6" t="n">
        <v>610</v>
      </c>
      <c r="H36" s="6" t="n">
        <v>645</v>
      </c>
      <c r="I36" s="6" t="n">
        <v>0</v>
      </c>
      <c r="J36" s="6" t="n">
        <v>20</v>
      </c>
      <c r="K36" s="6" t="n">
        <f aca="false">IF($F36="","",$F36*$H36)</f>
        <v>21052.8</v>
      </c>
      <c r="L36" s="6" t="n">
        <f aca="false">IFERROR(ROUND($F36*$G36,-1),"")</f>
        <v>19910</v>
      </c>
      <c r="M36" s="4"/>
      <c r="N36" s="5" t="n">
        <f aca="false">IF($F36="","",IF(N($I36)&gt;0,$F36,0))</f>
        <v>0</v>
      </c>
      <c r="O36" s="6" t="n">
        <f aca="false">IF($F36="","",N($N36)*N($I36))</f>
        <v>0</v>
      </c>
      <c r="P36" s="6" t="str">
        <f aca="false">IF(OR($C36=P$1,$C36="Titan Rocks"),$K36,"")</f>
        <v/>
      </c>
      <c r="Q36" s="6" t="str">
        <f aca="false">IF($C36=Q$1,$K36,"")</f>
        <v/>
      </c>
      <c r="R36" s="5" t="str">
        <f aca="false">IF($C36=Q$1,$F36,"")</f>
        <v/>
      </c>
      <c r="S36" s="6" t="str">
        <f aca="false">IF($C36=S$1,$K36,"")</f>
        <v/>
      </c>
      <c r="T36" s="5" t="str">
        <f aca="false">IF($C36=S$1,$F36,"")</f>
        <v/>
      </c>
      <c r="U36" s="6" t="str">
        <f aca="false">IF($C36=U$1,$K36,"")</f>
        <v/>
      </c>
      <c r="V36" s="5" t="str">
        <f aca="false">IF($C36=U$1,$F36,"")</f>
        <v/>
      </c>
      <c r="W36" s="6" t="str">
        <f aca="false">IF($C36=W$1,$K36,"")</f>
        <v/>
      </c>
      <c r="X36" s="5" t="str">
        <f aca="false">IF($C36=W$1,$F36,"")</f>
        <v/>
      </c>
      <c r="Y36" s="6" t="str">
        <f aca="false">IF($C36=Y$1,$K36,"")</f>
        <v/>
      </c>
      <c r="Z36" s="5" t="str">
        <f aca="false">IF($C36=Y$1,$F36,"")</f>
        <v/>
      </c>
      <c r="AA36" s="6" t="str">
        <f aca="false">IF($C36=AA$1,$K36,"")</f>
        <v/>
      </c>
      <c r="AB36" s="5" t="str">
        <f aca="false">IF($C36=AA$1,$F36,"")</f>
        <v/>
      </c>
      <c r="AC36" s="6" t="str">
        <f aca="false">IF($C36=AC$1,$K36,"")</f>
        <v/>
      </c>
      <c r="AD36" s="5" t="str">
        <f aca="false">IF($C36=AC$1,$F36,"")</f>
        <v/>
      </c>
      <c r="AE36" s="6" t="str">
        <f aca="false">IF($C36=AE$1,$K36,"")</f>
        <v/>
      </c>
      <c r="AF36" s="5" t="str">
        <f aca="false">IF($C36=AE$1,$F36,"")</f>
        <v/>
      </c>
      <c r="AG36" s="6" t="str">
        <f aca="false">IF($C36=AG$1,$K36,"")</f>
        <v/>
      </c>
      <c r="AH36" s="5" t="str">
        <f aca="false">IF($C36=AG$1,$F36,"")</f>
        <v/>
      </c>
      <c r="AI36" s="6" t="str">
        <f aca="false">IF($C36=AI$1,$K36,"")</f>
        <v/>
      </c>
      <c r="AJ36" s="5" t="str">
        <f aca="false">IF($C36=AI$1,$F36,"")</f>
        <v/>
      </c>
      <c r="AK36" s="6" t="str">
        <f aca="false">IF($C36=AK$1,$K36,"")</f>
        <v/>
      </c>
      <c r="AL36" s="5" t="str">
        <f aca="false">IF($C36=AK$1,$F36,"")</f>
        <v/>
      </c>
      <c r="AM36" s="6" t="str">
        <f aca="false">IF($C36=AM$1,$K36,"")</f>
        <v/>
      </c>
      <c r="AN36" s="5" t="str">
        <f aca="false">IF($C36=AM$1,$F36,"")</f>
        <v/>
      </c>
      <c r="AO36" s="6" t="n">
        <f aca="false">IF($C36=AO$1,$K36,"")</f>
        <v>21052.8</v>
      </c>
      <c r="AP36" s="5" t="n">
        <f aca="false">IF($C36=AO$1,$F36,"")</f>
        <v>32.64</v>
      </c>
      <c r="AQ36" s="5" t="n">
        <f aca="false">IF($F36="",0,IF($D36=AQ$1,$F36,0))</f>
        <v>0</v>
      </c>
      <c r="AR36" s="6" t="n">
        <f aca="false">IF($D36=AQ$1,N($K36)-N($L36)-N($O36),0)</f>
        <v>0</v>
      </c>
      <c r="AS36" s="5" t="n">
        <f aca="false">IF($F36="",0,IF($D36=AS$1,$F36,0))</f>
        <v>32.64</v>
      </c>
      <c r="AT36" s="6" t="n">
        <f aca="false">IF($D36=AS$1,N($K36)-N($L36)-N($O36),0)</f>
        <v>1142.8</v>
      </c>
      <c r="AU36" s="5" t="n">
        <f aca="false">IF(N($J36)&gt;0,N($F36),0)</f>
        <v>32.64</v>
      </c>
      <c r="AV36" s="6" t="n">
        <f aca="false">IF(N($J36)&gt;0,$F36*$J36,0)</f>
        <v>652.8</v>
      </c>
    </row>
    <row r="37" customFormat="false" ht="15" hidden="false" customHeight="false" outlineLevel="0" collapsed="false">
      <c r="A37" s="16" t="n">
        <v>45986</v>
      </c>
      <c r="B37" s="4" t="s">
        <v>232</v>
      </c>
      <c r="C37" s="4" t="s">
        <v>27</v>
      </c>
      <c r="D37" s="4" t="s">
        <v>68</v>
      </c>
      <c r="E37" s="4" t="n">
        <f aca="false">E36+1</f>
        <v>35</v>
      </c>
      <c r="F37" s="5" t="n">
        <v>34.57</v>
      </c>
      <c r="G37" s="6" t="n">
        <v>610</v>
      </c>
      <c r="H37" s="6" t="n">
        <v>645</v>
      </c>
      <c r="I37" s="6" t="n">
        <v>0</v>
      </c>
      <c r="J37" s="6" t="n">
        <v>20</v>
      </c>
      <c r="K37" s="6" t="n">
        <f aca="false">IF($F37="","",$F37*$H37)</f>
        <v>22297.65</v>
      </c>
      <c r="L37" s="6" t="n">
        <f aca="false">IFERROR(ROUND($F37*$G37,-1),"")</f>
        <v>21090</v>
      </c>
      <c r="M37" s="4"/>
      <c r="N37" s="5" t="n">
        <f aca="false">IF($F37="","",IF(N($I37)&gt;0,$F37,0))</f>
        <v>0</v>
      </c>
      <c r="O37" s="6" t="n">
        <f aca="false">IF($F37="","",N($N37)*N($I37))</f>
        <v>0</v>
      </c>
      <c r="P37" s="6" t="str">
        <f aca="false">IF(OR($C37=P$1,$C37="Titan Rocks"),$K37,"")</f>
        <v/>
      </c>
      <c r="Q37" s="6" t="str">
        <f aca="false">IF($C37=Q$1,$K37,"")</f>
        <v/>
      </c>
      <c r="R37" s="5" t="str">
        <f aca="false">IF($C37=Q$1,$F37,"")</f>
        <v/>
      </c>
      <c r="S37" s="6" t="str">
        <f aca="false">IF($C37=S$1,$K37,"")</f>
        <v/>
      </c>
      <c r="T37" s="5" t="str">
        <f aca="false">IF($C37=S$1,$F37,"")</f>
        <v/>
      </c>
      <c r="U37" s="6" t="str">
        <f aca="false">IF($C37=U$1,$K37,"")</f>
        <v/>
      </c>
      <c r="V37" s="5" t="str">
        <f aca="false">IF($C37=U$1,$F37,"")</f>
        <v/>
      </c>
      <c r="W37" s="6" t="str">
        <f aca="false">IF($C37=W$1,$K37,"")</f>
        <v/>
      </c>
      <c r="X37" s="5" t="str">
        <f aca="false">IF($C37=W$1,$F37,"")</f>
        <v/>
      </c>
      <c r="Y37" s="6" t="str">
        <f aca="false">IF($C37=Y$1,$K37,"")</f>
        <v/>
      </c>
      <c r="Z37" s="5" t="str">
        <f aca="false">IF($C37=Y$1,$F37,"")</f>
        <v/>
      </c>
      <c r="AA37" s="6" t="str">
        <f aca="false">IF($C37=AA$1,$K37,"")</f>
        <v/>
      </c>
      <c r="AB37" s="5" t="str">
        <f aca="false">IF($C37=AA$1,$F37,"")</f>
        <v/>
      </c>
      <c r="AC37" s="6" t="str">
        <f aca="false">IF($C37=AC$1,$K37,"")</f>
        <v/>
      </c>
      <c r="AD37" s="5" t="str">
        <f aca="false">IF($C37=AC$1,$F37,"")</f>
        <v/>
      </c>
      <c r="AE37" s="6" t="str">
        <f aca="false">IF($C37=AE$1,$K37,"")</f>
        <v/>
      </c>
      <c r="AF37" s="5" t="str">
        <f aca="false">IF($C37=AE$1,$F37,"")</f>
        <v/>
      </c>
      <c r="AG37" s="6" t="str">
        <f aca="false">IF($C37=AG$1,$K37,"")</f>
        <v/>
      </c>
      <c r="AH37" s="5" t="str">
        <f aca="false">IF($C37=AG$1,$F37,"")</f>
        <v/>
      </c>
      <c r="AI37" s="6" t="str">
        <f aca="false">IF($C37=AI$1,$K37,"")</f>
        <v/>
      </c>
      <c r="AJ37" s="5" t="str">
        <f aca="false">IF($C37=AI$1,$F37,"")</f>
        <v/>
      </c>
      <c r="AK37" s="6" t="str">
        <f aca="false">IF($C37=AK$1,$K37,"")</f>
        <v/>
      </c>
      <c r="AL37" s="5" t="str">
        <f aca="false">IF($C37=AK$1,$F37,"")</f>
        <v/>
      </c>
      <c r="AM37" s="6" t="str">
        <f aca="false">IF($C37=AM$1,$K37,"")</f>
        <v/>
      </c>
      <c r="AN37" s="5" t="str">
        <f aca="false">IF($C37=AM$1,$F37,"")</f>
        <v/>
      </c>
      <c r="AO37" s="6" t="n">
        <f aca="false">IF($C37=AO$1,$K37,"")</f>
        <v>22297.65</v>
      </c>
      <c r="AP37" s="5" t="n">
        <f aca="false">IF($C37=AO$1,$F37,"")</f>
        <v>34.57</v>
      </c>
      <c r="AQ37" s="5" t="n">
        <f aca="false">IF($F37="",0,IF($D37=AQ$1,$F37,0))</f>
        <v>0</v>
      </c>
      <c r="AR37" s="6" t="n">
        <f aca="false">IF($D37=AQ$1,N($K37)-N($L37)-N($O37),0)</f>
        <v>0</v>
      </c>
      <c r="AS37" s="5" t="n">
        <f aca="false">IF($F37="",0,IF($D37=AS$1,$F37,0))</f>
        <v>34.57</v>
      </c>
      <c r="AT37" s="6" t="n">
        <f aca="false">IF($D37=AS$1,N($K37)-N($L37)-N($O37),0)</f>
        <v>1207.65</v>
      </c>
      <c r="AU37" s="5" t="n">
        <f aca="false">IF(N($J37)&gt;0,N($F37),0)</f>
        <v>34.57</v>
      </c>
      <c r="AV37" s="6" t="n">
        <f aca="false">IF(N($J37)&gt;0,$F37*$J37,0)</f>
        <v>691.4</v>
      </c>
    </row>
    <row r="38" customFormat="false" ht="15" hidden="false" customHeight="false" outlineLevel="0" collapsed="false">
      <c r="A38" s="16" t="n">
        <v>45986</v>
      </c>
      <c r="B38" s="4" t="s">
        <v>232</v>
      </c>
      <c r="C38" s="4" t="s">
        <v>27</v>
      </c>
      <c r="D38" s="4" t="s">
        <v>68</v>
      </c>
      <c r="E38" s="4" t="n">
        <f aca="false">E37+1</f>
        <v>36</v>
      </c>
      <c r="F38" s="5" t="n">
        <v>31.93</v>
      </c>
      <c r="G38" s="6" t="n">
        <v>610</v>
      </c>
      <c r="H38" s="6" t="n">
        <v>645</v>
      </c>
      <c r="I38" s="6" t="n">
        <v>0</v>
      </c>
      <c r="J38" s="6" t="n">
        <v>20</v>
      </c>
      <c r="K38" s="6" t="n">
        <f aca="false">IF($F38="","",$F38*$H38)</f>
        <v>20594.85</v>
      </c>
      <c r="L38" s="6" t="n">
        <f aca="false">IFERROR(ROUND($F38*$G38,-1),"")</f>
        <v>19480</v>
      </c>
      <c r="M38" s="4"/>
      <c r="N38" s="5" t="n">
        <f aca="false">IF($F38="","",IF(N($I38)&gt;0,$F38,0))</f>
        <v>0</v>
      </c>
      <c r="O38" s="6" t="n">
        <f aca="false">IF($F38="","",N($N38)*N($I38))</f>
        <v>0</v>
      </c>
      <c r="P38" s="6" t="str">
        <f aca="false">IF(OR($C38=P$1,$C38="Titan Rocks"),$K38,"")</f>
        <v/>
      </c>
      <c r="Q38" s="6" t="str">
        <f aca="false">IF($C38=Q$1,$K38,"")</f>
        <v/>
      </c>
      <c r="R38" s="5" t="str">
        <f aca="false">IF($C38=Q$1,$F38,"")</f>
        <v/>
      </c>
      <c r="S38" s="6" t="str">
        <f aca="false">IF($C38=S$1,$K38,"")</f>
        <v/>
      </c>
      <c r="T38" s="5" t="str">
        <f aca="false">IF($C38=S$1,$F38,"")</f>
        <v/>
      </c>
      <c r="U38" s="6" t="str">
        <f aca="false">IF($C38=U$1,$K38,"")</f>
        <v/>
      </c>
      <c r="V38" s="5" t="str">
        <f aca="false">IF($C38=U$1,$F38,"")</f>
        <v/>
      </c>
      <c r="W38" s="6" t="str">
        <f aca="false">IF($C38=W$1,$K38,"")</f>
        <v/>
      </c>
      <c r="X38" s="5" t="str">
        <f aca="false">IF($C38=W$1,$F38,"")</f>
        <v/>
      </c>
      <c r="Y38" s="6" t="str">
        <f aca="false">IF($C38=Y$1,$K38,"")</f>
        <v/>
      </c>
      <c r="Z38" s="5" t="str">
        <f aca="false">IF($C38=Y$1,$F38,"")</f>
        <v/>
      </c>
      <c r="AA38" s="6" t="str">
        <f aca="false">IF($C38=AA$1,$K38,"")</f>
        <v/>
      </c>
      <c r="AB38" s="5" t="str">
        <f aca="false">IF($C38=AA$1,$F38,"")</f>
        <v/>
      </c>
      <c r="AC38" s="6" t="str">
        <f aca="false">IF($C38=AC$1,$K38,"")</f>
        <v/>
      </c>
      <c r="AD38" s="5" t="str">
        <f aca="false">IF($C38=AC$1,$F38,"")</f>
        <v/>
      </c>
      <c r="AE38" s="6" t="str">
        <f aca="false">IF($C38=AE$1,$K38,"")</f>
        <v/>
      </c>
      <c r="AF38" s="5" t="str">
        <f aca="false">IF($C38=AE$1,$F38,"")</f>
        <v/>
      </c>
      <c r="AG38" s="6" t="str">
        <f aca="false">IF($C38=AG$1,$K38,"")</f>
        <v/>
      </c>
      <c r="AH38" s="5" t="str">
        <f aca="false">IF($C38=AG$1,$F38,"")</f>
        <v/>
      </c>
      <c r="AI38" s="6" t="str">
        <f aca="false">IF($C38=AI$1,$K38,"")</f>
        <v/>
      </c>
      <c r="AJ38" s="5" t="str">
        <f aca="false">IF($C38=AI$1,$F38,"")</f>
        <v/>
      </c>
      <c r="AK38" s="6" t="str">
        <f aca="false">IF($C38=AK$1,$K38,"")</f>
        <v/>
      </c>
      <c r="AL38" s="5" t="str">
        <f aca="false">IF($C38=AK$1,$F38,"")</f>
        <v/>
      </c>
      <c r="AM38" s="6" t="str">
        <f aca="false">IF($C38=AM$1,$K38,"")</f>
        <v/>
      </c>
      <c r="AN38" s="5" t="str">
        <f aca="false">IF($C38=AM$1,$F38,"")</f>
        <v/>
      </c>
      <c r="AO38" s="6" t="n">
        <f aca="false">IF($C38=AO$1,$K38,"")</f>
        <v>20594.85</v>
      </c>
      <c r="AP38" s="5" t="n">
        <f aca="false">IF($C38=AO$1,$F38,"")</f>
        <v>31.93</v>
      </c>
      <c r="AQ38" s="5" t="n">
        <f aca="false">IF($F38="",0,IF($D38=AQ$1,$F38,0))</f>
        <v>0</v>
      </c>
      <c r="AR38" s="6" t="n">
        <f aca="false">IF($D38=AQ$1,N($K38)-N($L38)-N($O38),0)</f>
        <v>0</v>
      </c>
      <c r="AS38" s="5" t="n">
        <f aca="false">IF($F38="",0,IF($D38=AS$1,$F38,0))</f>
        <v>31.93</v>
      </c>
      <c r="AT38" s="6" t="n">
        <f aca="false">IF($D38=AS$1,N($K38)-N($L38)-N($O38),0)</f>
        <v>1114.85</v>
      </c>
      <c r="AU38" s="5" t="n">
        <f aca="false">IF(N($J38)&gt;0,N($F38),0)</f>
        <v>31.93</v>
      </c>
      <c r="AV38" s="6" t="n">
        <f aca="false">IF(N($J38)&gt;0,$F38*$J38,0)</f>
        <v>638.6</v>
      </c>
    </row>
    <row r="39" customFormat="false" ht="15" hidden="false" customHeight="false" outlineLevel="0" collapsed="false">
      <c r="A39" s="16" t="n">
        <v>45986</v>
      </c>
      <c r="B39" s="4" t="s">
        <v>232</v>
      </c>
      <c r="C39" s="4" t="s">
        <v>27</v>
      </c>
      <c r="D39" s="4" t="s">
        <v>68</v>
      </c>
      <c r="E39" s="4" t="n">
        <f aca="false">E38+1</f>
        <v>37</v>
      </c>
      <c r="F39" s="5" t="n">
        <v>32.87</v>
      </c>
      <c r="G39" s="6" t="n">
        <v>610</v>
      </c>
      <c r="H39" s="6" t="n">
        <v>645</v>
      </c>
      <c r="I39" s="6" t="n">
        <v>0</v>
      </c>
      <c r="J39" s="6" t="n">
        <v>20</v>
      </c>
      <c r="K39" s="6" t="n">
        <f aca="false">IF($F39="","",$F39*$H39)</f>
        <v>21201.15</v>
      </c>
      <c r="L39" s="6" t="n">
        <f aca="false">IFERROR(ROUND($F39*$G39,-1),"")</f>
        <v>20050</v>
      </c>
      <c r="M39" s="4"/>
      <c r="N39" s="5" t="n">
        <f aca="false">IF($F39="","",IF(N($I39)&gt;0,$F39,0))</f>
        <v>0</v>
      </c>
      <c r="O39" s="6" t="n">
        <f aca="false">IF($F39="","",N($N39)*N($I39))</f>
        <v>0</v>
      </c>
      <c r="P39" s="6" t="str">
        <f aca="false">IF(OR($C39=P$1,$C39="Titan Rocks"),$K39,"")</f>
        <v/>
      </c>
      <c r="Q39" s="6" t="str">
        <f aca="false">IF($C39=Q$1,$K39,"")</f>
        <v/>
      </c>
      <c r="R39" s="5" t="str">
        <f aca="false">IF($C39=Q$1,$F39,"")</f>
        <v/>
      </c>
      <c r="S39" s="6" t="str">
        <f aca="false">IF($C39=S$1,$K39,"")</f>
        <v/>
      </c>
      <c r="T39" s="5" t="str">
        <f aca="false">IF($C39=S$1,$F39,"")</f>
        <v/>
      </c>
      <c r="U39" s="6" t="str">
        <f aca="false">IF($C39=U$1,$K39,"")</f>
        <v/>
      </c>
      <c r="V39" s="5" t="str">
        <f aca="false">IF($C39=U$1,$F39,"")</f>
        <v/>
      </c>
      <c r="W39" s="6" t="str">
        <f aca="false">IF($C39=W$1,$K39,"")</f>
        <v/>
      </c>
      <c r="X39" s="5" t="str">
        <f aca="false">IF($C39=W$1,$F39,"")</f>
        <v/>
      </c>
      <c r="Y39" s="6" t="str">
        <f aca="false">IF($C39=Y$1,$K39,"")</f>
        <v/>
      </c>
      <c r="Z39" s="5" t="str">
        <f aca="false">IF($C39=Y$1,$F39,"")</f>
        <v/>
      </c>
      <c r="AA39" s="6" t="str">
        <f aca="false">IF($C39=AA$1,$K39,"")</f>
        <v/>
      </c>
      <c r="AB39" s="5" t="str">
        <f aca="false">IF($C39=AA$1,$F39,"")</f>
        <v/>
      </c>
      <c r="AC39" s="6" t="str">
        <f aca="false">IF($C39=AC$1,$K39,"")</f>
        <v/>
      </c>
      <c r="AD39" s="5" t="str">
        <f aca="false">IF($C39=AC$1,$F39,"")</f>
        <v/>
      </c>
      <c r="AE39" s="6" t="str">
        <f aca="false">IF($C39=AE$1,$K39,"")</f>
        <v/>
      </c>
      <c r="AF39" s="5" t="str">
        <f aca="false">IF($C39=AE$1,$F39,"")</f>
        <v/>
      </c>
      <c r="AG39" s="6" t="str">
        <f aca="false">IF($C39=AG$1,$K39,"")</f>
        <v/>
      </c>
      <c r="AH39" s="5" t="str">
        <f aca="false">IF($C39=AG$1,$F39,"")</f>
        <v/>
      </c>
      <c r="AI39" s="6" t="str">
        <f aca="false">IF($C39=AI$1,$K39,"")</f>
        <v/>
      </c>
      <c r="AJ39" s="5" t="str">
        <f aca="false">IF($C39=AI$1,$F39,"")</f>
        <v/>
      </c>
      <c r="AK39" s="6" t="str">
        <f aca="false">IF($C39=AK$1,$K39,"")</f>
        <v/>
      </c>
      <c r="AL39" s="5" t="str">
        <f aca="false">IF($C39=AK$1,$F39,"")</f>
        <v/>
      </c>
      <c r="AM39" s="6" t="str">
        <f aca="false">IF($C39=AM$1,$K39,"")</f>
        <v/>
      </c>
      <c r="AN39" s="5" t="str">
        <f aca="false">IF($C39=AM$1,$F39,"")</f>
        <v/>
      </c>
      <c r="AO39" s="6" t="n">
        <f aca="false">IF($C39=AO$1,$K39,"")</f>
        <v>21201.15</v>
      </c>
      <c r="AP39" s="5" t="n">
        <f aca="false">IF($C39=AO$1,$F39,"")</f>
        <v>32.87</v>
      </c>
      <c r="AQ39" s="5" t="n">
        <f aca="false">IF($F39="",0,IF($D39=AQ$1,$F39,0))</f>
        <v>0</v>
      </c>
      <c r="AR39" s="6" t="n">
        <f aca="false">IF($D39=AQ$1,N($K39)-N($L39)-N($O39),0)</f>
        <v>0</v>
      </c>
      <c r="AS39" s="5" t="n">
        <f aca="false">IF($F39="",0,IF($D39=AS$1,$F39,0))</f>
        <v>32.87</v>
      </c>
      <c r="AT39" s="6" t="n">
        <f aca="false">IF($D39=AS$1,N($K39)-N($L39)-N($O39),0)</f>
        <v>1151.15</v>
      </c>
      <c r="AU39" s="5" t="n">
        <f aca="false">IF(N($J39)&gt;0,N($F39),0)</f>
        <v>32.87</v>
      </c>
      <c r="AV39" s="6" t="n">
        <f aca="false">IF(N($J39)&gt;0,$F39*$J39,0)</f>
        <v>657.4</v>
      </c>
    </row>
    <row r="40" customFormat="false" ht="15" hidden="false" customHeight="false" outlineLevel="0" collapsed="false">
      <c r="A40" s="16" t="n">
        <v>45986</v>
      </c>
      <c r="B40" s="4" t="s">
        <v>232</v>
      </c>
      <c r="C40" s="4" t="s">
        <v>27</v>
      </c>
      <c r="D40" s="4" t="s">
        <v>68</v>
      </c>
      <c r="E40" s="4" t="n">
        <f aca="false">E39+1</f>
        <v>38</v>
      </c>
      <c r="F40" s="5" t="n">
        <v>31.11</v>
      </c>
      <c r="G40" s="6" t="n">
        <v>610</v>
      </c>
      <c r="H40" s="6" t="n">
        <v>645</v>
      </c>
      <c r="I40" s="6" t="n">
        <v>0</v>
      </c>
      <c r="J40" s="6" t="n">
        <v>20</v>
      </c>
      <c r="K40" s="6" t="n">
        <f aca="false">IF($F40="","",$F40*$H40)</f>
        <v>20065.95</v>
      </c>
      <c r="L40" s="6" t="n">
        <f aca="false">IFERROR(ROUND($F40*$G40,-1),"")</f>
        <v>18980</v>
      </c>
      <c r="M40" s="4"/>
      <c r="N40" s="5" t="n">
        <f aca="false">IF($F40="","",IF(N($I40)&gt;0,$F40,0))</f>
        <v>0</v>
      </c>
      <c r="O40" s="6" t="n">
        <f aca="false">IF($F40="","",N($N40)*N($I40))</f>
        <v>0</v>
      </c>
      <c r="P40" s="6" t="str">
        <f aca="false">IF(OR($C40=P$1,$C40="Titan Rocks"),$K40,"")</f>
        <v/>
      </c>
      <c r="Q40" s="6" t="str">
        <f aca="false">IF($C40=Q$1,$K40,"")</f>
        <v/>
      </c>
      <c r="R40" s="5" t="str">
        <f aca="false">IF($C40=Q$1,$F40,"")</f>
        <v/>
      </c>
      <c r="S40" s="6" t="str">
        <f aca="false">IF($C40=S$1,$K40,"")</f>
        <v/>
      </c>
      <c r="T40" s="5" t="str">
        <f aca="false">IF($C40=S$1,$F40,"")</f>
        <v/>
      </c>
      <c r="U40" s="6" t="str">
        <f aca="false">IF($C40=U$1,$K40,"")</f>
        <v/>
      </c>
      <c r="V40" s="5" t="str">
        <f aca="false">IF($C40=U$1,$F40,"")</f>
        <v/>
      </c>
      <c r="W40" s="6" t="str">
        <f aca="false">IF($C40=W$1,$K40,"")</f>
        <v/>
      </c>
      <c r="X40" s="5" t="str">
        <f aca="false">IF($C40=W$1,$F40,"")</f>
        <v/>
      </c>
      <c r="Y40" s="6" t="str">
        <f aca="false">IF($C40=Y$1,$K40,"")</f>
        <v/>
      </c>
      <c r="Z40" s="5" t="str">
        <f aca="false">IF($C40=Y$1,$F40,"")</f>
        <v/>
      </c>
      <c r="AA40" s="6" t="str">
        <f aca="false">IF($C40=AA$1,$K40,"")</f>
        <v/>
      </c>
      <c r="AB40" s="5" t="str">
        <f aca="false">IF($C40=AA$1,$F40,"")</f>
        <v/>
      </c>
      <c r="AC40" s="6" t="str">
        <f aca="false">IF($C40=AC$1,$K40,"")</f>
        <v/>
      </c>
      <c r="AD40" s="5" t="str">
        <f aca="false">IF($C40=AC$1,$F40,"")</f>
        <v/>
      </c>
      <c r="AE40" s="6" t="str">
        <f aca="false">IF($C40=AE$1,$K40,"")</f>
        <v/>
      </c>
      <c r="AF40" s="5" t="str">
        <f aca="false">IF($C40=AE$1,$F40,"")</f>
        <v/>
      </c>
      <c r="AG40" s="6" t="str">
        <f aca="false">IF($C40=AG$1,$K40,"")</f>
        <v/>
      </c>
      <c r="AH40" s="5" t="str">
        <f aca="false">IF($C40=AG$1,$F40,"")</f>
        <v/>
      </c>
      <c r="AI40" s="6" t="str">
        <f aca="false">IF($C40=AI$1,$K40,"")</f>
        <v/>
      </c>
      <c r="AJ40" s="5" t="str">
        <f aca="false">IF($C40=AI$1,$F40,"")</f>
        <v/>
      </c>
      <c r="AK40" s="6" t="str">
        <f aca="false">IF($C40=AK$1,$K40,"")</f>
        <v/>
      </c>
      <c r="AL40" s="5" t="str">
        <f aca="false">IF($C40=AK$1,$F40,"")</f>
        <v/>
      </c>
      <c r="AM40" s="6" t="str">
        <f aca="false">IF($C40=AM$1,$K40,"")</f>
        <v/>
      </c>
      <c r="AN40" s="5" t="str">
        <f aca="false">IF($C40=AM$1,$F40,"")</f>
        <v/>
      </c>
      <c r="AO40" s="6" t="n">
        <f aca="false">IF($C40=AO$1,$K40,"")</f>
        <v>20065.95</v>
      </c>
      <c r="AP40" s="5" t="n">
        <f aca="false">IF($C40=AO$1,$F40,"")</f>
        <v>31.11</v>
      </c>
      <c r="AQ40" s="5" t="n">
        <f aca="false">IF($F40="",0,IF($D40=AQ$1,$F40,0))</f>
        <v>0</v>
      </c>
      <c r="AR40" s="6" t="n">
        <f aca="false">IF($D40=AQ$1,N($K40)-N($L40)-N($O40),0)</f>
        <v>0</v>
      </c>
      <c r="AS40" s="5" t="n">
        <f aca="false">IF($F40="",0,IF($D40=AS$1,$F40,0))</f>
        <v>31.11</v>
      </c>
      <c r="AT40" s="6" t="n">
        <f aca="false">IF($D40=AS$1,N($K40)-N($L40)-N($O40),0)</f>
        <v>1085.95</v>
      </c>
      <c r="AU40" s="5" t="n">
        <f aca="false">IF(N($J40)&gt;0,N($F40),0)</f>
        <v>31.11</v>
      </c>
      <c r="AV40" s="6" t="n">
        <f aca="false">IF(N($J40)&gt;0,$F40*$J40,0)</f>
        <v>622.2</v>
      </c>
    </row>
    <row r="41" customFormat="false" ht="15" hidden="false" customHeight="false" outlineLevel="0" collapsed="false">
      <c r="A41" s="16" t="n">
        <v>45988</v>
      </c>
      <c r="B41" s="4" t="s">
        <v>232</v>
      </c>
      <c r="C41" s="4" t="s">
        <v>27</v>
      </c>
      <c r="D41" s="4" t="s">
        <v>67</v>
      </c>
      <c r="E41" s="4" t="n">
        <f aca="false">E40+1</f>
        <v>39</v>
      </c>
      <c r="F41" s="5" t="n">
        <v>31.28</v>
      </c>
      <c r="G41" s="6" t="n">
        <v>640</v>
      </c>
      <c r="H41" s="6" t="n">
        <v>645</v>
      </c>
      <c r="I41" s="6" t="n">
        <v>0</v>
      </c>
      <c r="J41" s="6" t="n">
        <v>20</v>
      </c>
      <c r="K41" s="6" t="n">
        <f aca="false">IF($F41="","",$F41*$H41)</f>
        <v>20175.6</v>
      </c>
      <c r="L41" s="6" t="n">
        <f aca="false">IFERROR(ROUND($F41*$G41,-1),"")</f>
        <v>20020</v>
      </c>
      <c r="M41" s="4"/>
      <c r="N41" s="5" t="n">
        <f aca="false">IF($F41="","",IF(N($I41)&gt;0,$F41,0))</f>
        <v>0</v>
      </c>
      <c r="O41" s="6" t="n">
        <f aca="false">IF($F41="","",N($N41)*N($I41))</f>
        <v>0</v>
      </c>
      <c r="P41" s="6" t="str">
        <f aca="false">IF(OR($C41=P$1,$C41="Titan Rocks"),$K41,"")</f>
        <v/>
      </c>
      <c r="Q41" s="6" t="str">
        <f aca="false">IF($C41=Q$1,$K41,"")</f>
        <v/>
      </c>
      <c r="R41" s="5" t="str">
        <f aca="false">IF($C41=Q$1,$F41,"")</f>
        <v/>
      </c>
      <c r="S41" s="6" t="str">
        <f aca="false">IF($C41=S$1,$K41,"")</f>
        <v/>
      </c>
      <c r="T41" s="5" t="str">
        <f aca="false">IF($C41=S$1,$F41,"")</f>
        <v/>
      </c>
      <c r="U41" s="6" t="str">
        <f aca="false">IF($C41=U$1,$K41,"")</f>
        <v/>
      </c>
      <c r="V41" s="5" t="str">
        <f aca="false">IF($C41=U$1,$F41,"")</f>
        <v/>
      </c>
      <c r="W41" s="6" t="str">
        <f aca="false">IF($C41=W$1,$K41,"")</f>
        <v/>
      </c>
      <c r="X41" s="5" t="str">
        <f aca="false">IF($C41=W$1,$F41,"")</f>
        <v/>
      </c>
      <c r="Y41" s="6" t="str">
        <f aca="false">IF($C41=Y$1,$K41,"")</f>
        <v/>
      </c>
      <c r="Z41" s="5" t="str">
        <f aca="false">IF($C41=Y$1,$F41,"")</f>
        <v/>
      </c>
      <c r="AA41" s="6" t="str">
        <f aca="false">IF($C41=AA$1,$K41,"")</f>
        <v/>
      </c>
      <c r="AB41" s="5" t="str">
        <f aca="false">IF($C41=AA$1,$F41,"")</f>
        <v/>
      </c>
      <c r="AC41" s="6" t="str">
        <f aca="false">IF($C41=AC$1,$K41,"")</f>
        <v/>
      </c>
      <c r="AD41" s="5" t="str">
        <f aca="false">IF($C41=AC$1,$F41,"")</f>
        <v/>
      </c>
      <c r="AE41" s="6" t="str">
        <f aca="false">IF($C41=AE$1,$K41,"")</f>
        <v/>
      </c>
      <c r="AF41" s="5" t="str">
        <f aca="false">IF($C41=AE$1,$F41,"")</f>
        <v/>
      </c>
      <c r="AG41" s="6" t="str">
        <f aca="false">IF($C41=AG$1,$K41,"")</f>
        <v/>
      </c>
      <c r="AH41" s="5" t="str">
        <f aca="false">IF($C41=AG$1,$F41,"")</f>
        <v/>
      </c>
      <c r="AI41" s="6" t="str">
        <f aca="false">IF($C41=AI$1,$K41,"")</f>
        <v/>
      </c>
      <c r="AJ41" s="5" t="str">
        <f aca="false">IF($C41=AI$1,$F41,"")</f>
        <v/>
      </c>
      <c r="AK41" s="6" t="str">
        <f aca="false">IF($C41=AK$1,$K41,"")</f>
        <v/>
      </c>
      <c r="AL41" s="5" t="str">
        <f aca="false">IF($C41=AK$1,$F41,"")</f>
        <v/>
      </c>
      <c r="AM41" s="6" t="str">
        <f aca="false">IF($C41=AM$1,$K41,"")</f>
        <v/>
      </c>
      <c r="AN41" s="5" t="str">
        <f aca="false">IF($C41=AM$1,$F41,"")</f>
        <v/>
      </c>
      <c r="AO41" s="6" t="n">
        <f aca="false">IF($C41=AO$1,$K41,"")</f>
        <v>20175.6</v>
      </c>
      <c r="AP41" s="5" t="n">
        <f aca="false">IF($C41=AO$1,$F41,"")</f>
        <v>31.28</v>
      </c>
      <c r="AQ41" s="5" t="n">
        <f aca="false">IF($F41="",0,IF($D41=AQ$1,$F41,0))</f>
        <v>31.28</v>
      </c>
      <c r="AR41" s="6" t="n">
        <f aca="false">IF($D41=AQ$1,N($K41)-N($L41)-N($O41),0)</f>
        <v>155.600000000002</v>
      </c>
      <c r="AS41" s="5" t="n">
        <f aca="false">IF($F41="",0,IF($D41=AS$1,$F41,0))</f>
        <v>0</v>
      </c>
      <c r="AT41" s="6" t="n">
        <f aca="false">IF($D41=AS$1,N($K41)-N($L41)-N($O41),0)</f>
        <v>0</v>
      </c>
      <c r="AU41" s="5" t="n">
        <f aca="false">IF(N($J41)&gt;0,N($F41),0)</f>
        <v>31.28</v>
      </c>
      <c r="AV41" s="6" t="n">
        <f aca="false">IF(N($J41)&gt;0,$F41*$J41,0)</f>
        <v>625.6</v>
      </c>
    </row>
    <row r="42" customFormat="false" ht="15" hidden="false" customHeight="false" outlineLevel="0" collapsed="false">
      <c r="A42" s="16" t="n">
        <v>45988</v>
      </c>
      <c r="B42" s="4" t="s">
        <v>232</v>
      </c>
      <c r="C42" s="4" t="s">
        <v>27</v>
      </c>
      <c r="D42" s="4" t="s">
        <v>68</v>
      </c>
      <c r="E42" s="4" t="n">
        <f aca="false">E41+1</f>
        <v>40</v>
      </c>
      <c r="F42" s="5" t="n">
        <v>31.67</v>
      </c>
      <c r="G42" s="6" t="n">
        <v>610</v>
      </c>
      <c r="H42" s="6" t="n">
        <v>645</v>
      </c>
      <c r="I42" s="6" t="n">
        <v>0</v>
      </c>
      <c r="J42" s="6" t="n">
        <v>20</v>
      </c>
      <c r="K42" s="6" t="n">
        <f aca="false">IF($F42="","",$F42*$H42)</f>
        <v>20427.15</v>
      </c>
      <c r="L42" s="6" t="n">
        <f aca="false">IFERROR(ROUND($F42*$G42,-1),"")</f>
        <v>19320</v>
      </c>
      <c r="M42" s="4"/>
      <c r="N42" s="5" t="n">
        <f aca="false">IF($F42="","",IF(N($I42)&gt;0,$F42,0))</f>
        <v>0</v>
      </c>
      <c r="O42" s="6" t="n">
        <f aca="false">IF($F42="","",N($N42)*N($I42))</f>
        <v>0</v>
      </c>
      <c r="P42" s="6" t="str">
        <f aca="false">IF(OR($C42=P$1,$C42="Titan Rocks"),$K42,"")</f>
        <v/>
      </c>
      <c r="Q42" s="6" t="str">
        <f aca="false">IF($C42=Q$1,$K42,"")</f>
        <v/>
      </c>
      <c r="R42" s="5" t="str">
        <f aca="false">IF($C42=Q$1,$F42,"")</f>
        <v/>
      </c>
      <c r="S42" s="6" t="str">
        <f aca="false">IF($C42=S$1,$K42,"")</f>
        <v/>
      </c>
      <c r="T42" s="5" t="str">
        <f aca="false">IF($C42=S$1,$F42,"")</f>
        <v/>
      </c>
      <c r="U42" s="6" t="str">
        <f aca="false">IF($C42=U$1,$K42,"")</f>
        <v/>
      </c>
      <c r="V42" s="5" t="str">
        <f aca="false">IF($C42=U$1,$F42,"")</f>
        <v/>
      </c>
      <c r="W42" s="6" t="str">
        <f aca="false">IF($C42=W$1,$K42,"")</f>
        <v/>
      </c>
      <c r="X42" s="5" t="str">
        <f aca="false">IF($C42=W$1,$F42,"")</f>
        <v/>
      </c>
      <c r="Y42" s="6" t="str">
        <f aca="false">IF($C42=Y$1,$K42,"")</f>
        <v/>
      </c>
      <c r="Z42" s="5" t="str">
        <f aca="false">IF($C42=Y$1,$F42,"")</f>
        <v/>
      </c>
      <c r="AA42" s="6" t="str">
        <f aca="false">IF($C42=AA$1,$K42,"")</f>
        <v/>
      </c>
      <c r="AB42" s="5" t="str">
        <f aca="false">IF($C42=AA$1,$F42,"")</f>
        <v/>
      </c>
      <c r="AC42" s="6" t="str">
        <f aca="false">IF($C42=AC$1,$K42,"")</f>
        <v/>
      </c>
      <c r="AD42" s="5" t="str">
        <f aca="false">IF($C42=AC$1,$F42,"")</f>
        <v/>
      </c>
      <c r="AE42" s="6" t="str">
        <f aca="false">IF($C42=AE$1,$K42,"")</f>
        <v/>
      </c>
      <c r="AF42" s="5" t="str">
        <f aca="false">IF($C42=AE$1,$F42,"")</f>
        <v/>
      </c>
      <c r="AG42" s="6" t="str">
        <f aca="false">IF($C42=AG$1,$K42,"")</f>
        <v/>
      </c>
      <c r="AH42" s="5" t="str">
        <f aca="false">IF($C42=AG$1,$F42,"")</f>
        <v/>
      </c>
      <c r="AI42" s="6" t="str">
        <f aca="false">IF($C42=AI$1,$K42,"")</f>
        <v/>
      </c>
      <c r="AJ42" s="5" t="str">
        <f aca="false">IF($C42=AI$1,$F42,"")</f>
        <v/>
      </c>
      <c r="AK42" s="6" t="str">
        <f aca="false">IF($C42=AK$1,$K42,"")</f>
        <v/>
      </c>
      <c r="AL42" s="5" t="str">
        <f aca="false">IF($C42=AK$1,$F42,"")</f>
        <v/>
      </c>
      <c r="AM42" s="6" t="str">
        <f aca="false">IF($C42=AM$1,$K42,"")</f>
        <v/>
      </c>
      <c r="AN42" s="5" t="str">
        <f aca="false">IF($C42=AM$1,$F42,"")</f>
        <v/>
      </c>
      <c r="AO42" s="6" t="n">
        <f aca="false">IF($C42=AO$1,$K42,"")</f>
        <v>20427.15</v>
      </c>
      <c r="AP42" s="5" t="n">
        <f aca="false">IF($C42=AO$1,$F42,"")</f>
        <v>31.67</v>
      </c>
      <c r="AQ42" s="5" t="n">
        <f aca="false">IF($F42="",0,IF($D42=AQ$1,$F42,0))</f>
        <v>0</v>
      </c>
      <c r="AR42" s="6" t="n">
        <f aca="false">IF($D42=AQ$1,N($K42)-N($L42)-N($O42),0)</f>
        <v>0</v>
      </c>
      <c r="AS42" s="5" t="n">
        <f aca="false">IF($F42="",0,IF($D42=AS$1,$F42,0))</f>
        <v>31.67</v>
      </c>
      <c r="AT42" s="6" t="n">
        <f aca="false">IF($D42=AS$1,N($K42)-N($L42)-N($O42),0)</f>
        <v>1107.15</v>
      </c>
      <c r="AU42" s="5" t="n">
        <f aca="false">IF(N($J42)&gt;0,N($F42),0)</f>
        <v>31.67</v>
      </c>
      <c r="AV42" s="6" t="n">
        <f aca="false">IF(N($J42)&gt;0,$F42*$J42,0)</f>
        <v>633.4</v>
      </c>
    </row>
    <row r="43" customFormat="false" ht="15" hidden="false" customHeight="false" outlineLevel="0" collapsed="false">
      <c r="A43" s="16" t="n">
        <v>45988</v>
      </c>
      <c r="B43" s="4" t="s">
        <v>232</v>
      </c>
      <c r="C43" s="4" t="s">
        <v>27</v>
      </c>
      <c r="D43" s="4" t="s">
        <v>67</v>
      </c>
      <c r="E43" s="4" t="n">
        <f aca="false">E42+1</f>
        <v>41</v>
      </c>
      <c r="F43" s="5" t="n">
        <v>32.5</v>
      </c>
      <c r="G43" s="6" t="n">
        <v>640</v>
      </c>
      <c r="H43" s="6" t="n">
        <v>645</v>
      </c>
      <c r="I43" s="6" t="n">
        <v>0</v>
      </c>
      <c r="J43" s="6" t="n">
        <v>20</v>
      </c>
      <c r="K43" s="6" t="n">
        <f aca="false">IF($F43="","",$F43*$H43)</f>
        <v>20962.5</v>
      </c>
      <c r="L43" s="6" t="n">
        <f aca="false">IFERROR(ROUND($F43*$G43,-1),"")</f>
        <v>20800</v>
      </c>
      <c r="M43" s="4"/>
      <c r="N43" s="5" t="n">
        <f aca="false">IF($F43="","",IF(N($I43)&gt;0,$F43,0))</f>
        <v>0</v>
      </c>
      <c r="O43" s="6" t="n">
        <f aca="false">IF($F43="","",N($N43)*N($I43))</f>
        <v>0</v>
      </c>
      <c r="P43" s="6" t="str">
        <f aca="false">IF(OR($C43=P$1,$C43="Titan Rocks"),$K43,"")</f>
        <v/>
      </c>
      <c r="Q43" s="6" t="str">
        <f aca="false">IF($C43=Q$1,$K43,"")</f>
        <v/>
      </c>
      <c r="R43" s="5" t="str">
        <f aca="false">IF($C43=Q$1,$F43,"")</f>
        <v/>
      </c>
      <c r="S43" s="6" t="str">
        <f aca="false">IF($C43=S$1,$K43,"")</f>
        <v/>
      </c>
      <c r="T43" s="5" t="str">
        <f aca="false">IF($C43=S$1,$F43,"")</f>
        <v/>
      </c>
      <c r="U43" s="6" t="str">
        <f aca="false">IF($C43=U$1,$K43,"")</f>
        <v/>
      </c>
      <c r="V43" s="5" t="str">
        <f aca="false">IF($C43=U$1,$F43,"")</f>
        <v/>
      </c>
      <c r="W43" s="6" t="str">
        <f aca="false">IF($C43=W$1,$K43,"")</f>
        <v/>
      </c>
      <c r="X43" s="5" t="str">
        <f aca="false">IF($C43=W$1,$F43,"")</f>
        <v/>
      </c>
      <c r="Y43" s="6" t="str">
        <f aca="false">IF($C43=Y$1,$K43,"")</f>
        <v/>
      </c>
      <c r="Z43" s="5" t="str">
        <f aca="false">IF($C43=Y$1,$F43,"")</f>
        <v/>
      </c>
      <c r="AA43" s="6" t="str">
        <f aca="false">IF($C43=AA$1,$K43,"")</f>
        <v/>
      </c>
      <c r="AB43" s="5" t="str">
        <f aca="false">IF($C43=AA$1,$F43,"")</f>
        <v/>
      </c>
      <c r="AC43" s="6" t="str">
        <f aca="false">IF($C43=AC$1,$K43,"")</f>
        <v/>
      </c>
      <c r="AD43" s="5" t="str">
        <f aca="false">IF($C43=AC$1,$F43,"")</f>
        <v/>
      </c>
      <c r="AE43" s="6" t="str">
        <f aca="false">IF($C43=AE$1,$K43,"")</f>
        <v/>
      </c>
      <c r="AF43" s="5" t="str">
        <f aca="false">IF($C43=AE$1,$F43,"")</f>
        <v/>
      </c>
      <c r="AG43" s="6" t="str">
        <f aca="false">IF($C43=AG$1,$K43,"")</f>
        <v/>
      </c>
      <c r="AH43" s="5" t="str">
        <f aca="false">IF($C43=AG$1,$F43,"")</f>
        <v/>
      </c>
      <c r="AI43" s="6" t="str">
        <f aca="false">IF($C43=AI$1,$K43,"")</f>
        <v/>
      </c>
      <c r="AJ43" s="5" t="str">
        <f aca="false">IF($C43=AI$1,$F43,"")</f>
        <v/>
      </c>
      <c r="AK43" s="6" t="str">
        <f aca="false">IF($C43=AK$1,$K43,"")</f>
        <v/>
      </c>
      <c r="AL43" s="5" t="str">
        <f aca="false">IF($C43=AK$1,$F43,"")</f>
        <v/>
      </c>
      <c r="AM43" s="6" t="str">
        <f aca="false">IF($C43=AM$1,$K43,"")</f>
        <v/>
      </c>
      <c r="AN43" s="5" t="str">
        <f aca="false">IF($C43=AM$1,$F43,"")</f>
        <v/>
      </c>
      <c r="AO43" s="6" t="n">
        <f aca="false">IF($C43=AO$1,$K43,"")</f>
        <v>20962.5</v>
      </c>
      <c r="AP43" s="5" t="n">
        <f aca="false">IF($C43=AO$1,$F43,"")</f>
        <v>32.5</v>
      </c>
      <c r="AQ43" s="5" t="n">
        <f aca="false">IF($F43="",0,IF($D43=AQ$1,$F43,0))</f>
        <v>32.5</v>
      </c>
      <c r="AR43" s="6" t="n">
        <f aca="false">IF($D43=AQ$1,N($K43)-N($L43)-N($O43),0)</f>
        <v>162.5</v>
      </c>
      <c r="AS43" s="5" t="n">
        <f aca="false">IF($F43="",0,IF($D43=AS$1,$F43,0))</f>
        <v>0</v>
      </c>
      <c r="AT43" s="6" t="n">
        <f aca="false">IF($D43=AS$1,N($K43)-N($L43)-N($O43),0)</f>
        <v>0</v>
      </c>
      <c r="AU43" s="5" t="n">
        <f aca="false">IF(N($J43)&gt;0,N($F43),0)</f>
        <v>32.5</v>
      </c>
      <c r="AV43" s="6" t="n">
        <f aca="false">IF(N($J43)&gt;0,$F43*$J43,0)</f>
        <v>650</v>
      </c>
    </row>
    <row r="44" customFormat="false" ht="15" hidden="false" customHeight="false" outlineLevel="0" collapsed="false">
      <c r="A44" s="16" t="n">
        <v>45988</v>
      </c>
      <c r="B44" s="4" t="s">
        <v>232</v>
      </c>
      <c r="C44" s="4" t="s">
        <v>27</v>
      </c>
      <c r="D44" s="4" t="s">
        <v>67</v>
      </c>
      <c r="E44" s="4" t="n">
        <f aca="false">E43+1</f>
        <v>42</v>
      </c>
      <c r="F44" s="5" t="n">
        <v>30.87</v>
      </c>
      <c r="G44" s="6" t="n">
        <v>640</v>
      </c>
      <c r="H44" s="6" t="n">
        <v>645</v>
      </c>
      <c r="I44" s="6" t="n">
        <v>0</v>
      </c>
      <c r="J44" s="6" t="n">
        <v>20</v>
      </c>
      <c r="K44" s="6" t="n">
        <f aca="false">IF($F44="","",$F44*$H44)</f>
        <v>19911.15</v>
      </c>
      <c r="L44" s="6" t="n">
        <f aca="false">IFERROR(ROUND($F44*$G44,-1),"")</f>
        <v>19760</v>
      </c>
      <c r="M44" s="4"/>
      <c r="N44" s="5" t="n">
        <f aca="false">IF($F44="","",IF(N($I44)&gt;0,$F44,0))</f>
        <v>0</v>
      </c>
      <c r="O44" s="6" t="n">
        <f aca="false">IF($F44="","",N($N44)*N($I44))</f>
        <v>0</v>
      </c>
      <c r="P44" s="6" t="str">
        <f aca="false">IF(OR($C44=P$1,$C44="Titan Rocks"),$K44,"")</f>
        <v/>
      </c>
      <c r="Q44" s="6" t="str">
        <f aca="false">IF($C44=Q$1,$K44,"")</f>
        <v/>
      </c>
      <c r="R44" s="5" t="str">
        <f aca="false">IF($C44=Q$1,$F44,"")</f>
        <v/>
      </c>
      <c r="S44" s="6" t="str">
        <f aca="false">IF($C44=S$1,$K44,"")</f>
        <v/>
      </c>
      <c r="T44" s="5" t="str">
        <f aca="false">IF($C44=S$1,$F44,"")</f>
        <v/>
      </c>
      <c r="U44" s="6" t="str">
        <f aca="false">IF($C44=U$1,$K44,"")</f>
        <v/>
      </c>
      <c r="V44" s="5" t="str">
        <f aca="false">IF($C44=U$1,$F44,"")</f>
        <v/>
      </c>
      <c r="W44" s="6" t="str">
        <f aca="false">IF($C44=W$1,$K44,"")</f>
        <v/>
      </c>
      <c r="X44" s="5" t="str">
        <f aca="false">IF($C44=W$1,$F44,"")</f>
        <v/>
      </c>
      <c r="Y44" s="6" t="str">
        <f aca="false">IF($C44=Y$1,$K44,"")</f>
        <v/>
      </c>
      <c r="Z44" s="5" t="str">
        <f aca="false">IF($C44=Y$1,$F44,"")</f>
        <v/>
      </c>
      <c r="AA44" s="6" t="str">
        <f aca="false">IF($C44=AA$1,$K44,"")</f>
        <v/>
      </c>
      <c r="AB44" s="5" t="str">
        <f aca="false">IF($C44=AA$1,$F44,"")</f>
        <v/>
      </c>
      <c r="AC44" s="6" t="str">
        <f aca="false">IF($C44=AC$1,$K44,"")</f>
        <v/>
      </c>
      <c r="AD44" s="5" t="str">
        <f aca="false">IF($C44=AC$1,$F44,"")</f>
        <v/>
      </c>
      <c r="AE44" s="6" t="str">
        <f aca="false">IF($C44=AE$1,$K44,"")</f>
        <v/>
      </c>
      <c r="AF44" s="5" t="str">
        <f aca="false">IF($C44=AE$1,$F44,"")</f>
        <v/>
      </c>
      <c r="AG44" s="6" t="str">
        <f aca="false">IF($C44=AG$1,$K44,"")</f>
        <v/>
      </c>
      <c r="AH44" s="5" t="str">
        <f aca="false">IF($C44=AG$1,$F44,"")</f>
        <v/>
      </c>
      <c r="AI44" s="6" t="str">
        <f aca="false">IF($C44=AI$1,$K44,"")</f>
        <v/>
      </c>
      <c r="AJ44" s="5" t="str">
        <f aca="false">IF($C44=AI$1,$F44,"")</f>
        <v/>
      </c>
      <c r="AK44" s="6" t="str">
        <f aca="false">IF($C44=AK$1,$K44,"")</f>
        <v/>
      </c>
      <c r="AL44" s="5" t="str">
        <f aca="false">IF($C44=AK$1,$F44,"")</f>
        <v/>
      </c>
      <c r="AM44" s="6" t="str">
        <f aca="false">IF($C44=AM$1,$K44,"")</f>
        <v/>
      </c>
      <c r="AN44" s="5" t="str">
        <f aca="false">IF($C44=AM$1,$F44,"")</f>
        <v/>
      </c>
      <c r="AO44" s="6" t="n">
        <f aca="false">IF($C44=AO$1,$K44,"")</f>
        <v>19911.15</v>
      </c>
      <c r="AP44" s="5" t="n">
        <f aca="false">IF($C44=AO$1,$F44,"")</f>
        <v>30.87</v>
      </c>
      <c r="AQ44" s="5" t="n">
        <f aca="false">IF($F44="",0,IF($D44=AQ$1,$F44,0))</f>
        <v>30.87</v>
      </c>
      <c r="AR44" s="6" t="n">
        <f aca="false">IF($D44=AQ$1,N($K44)-N($L44)-N($O44),0)</f>
        <v>151.150000000001</v>
      </c>
      <c r="AS44" s="5" t="n">
        <f aca="false">IF($F44="",0,IF($D44=AS$1,$F44,0))</f>
        <v>0</v>
      </c>
      <c r="AT44" s="6" t="n">
        <f aca="false">IF($D44=AS$1,N($K44)-N($L44)-N($O44),0)</f>
        <v>0</v>
      </c>
      <c r="AU44" s="5" t="n">
        <f aca="false">IF(N($J44)&gt;0,N($F44),0)</f>
        <v>30.87</v>
      </c>
      <c r="AV44" s="6" t="n">
        <f aca="false">IF(N($J44)&gt;0,$F44*$J44,0)</f>
        <v>617.4</v>
      </c>
    </row>
    <row r="45" customFormat="false" ht="15" hidden="false" customHeight="false" outlineLevel="0" collapsed="false">
      <c r="A45" s="16" t="n">
        <v>45988</v>
      </c>
      <c r="B45" s="4" t="s">
        <v>232</v>
      </c>
      <c r="C45" s="4" t="s">
        <v>27</v>
      </c>
      <c r="D45" s="4" t="s">
        <v>68</v>
      </c>
      <c r="E45" s="4" t="n">
        <f aca="false">E44+1</f>
        <v>43</v>
      </c>
      <c r="F45" s="5" t="n">
        <v>31.83</v>
      </c>
      <c r="G45" s="6" t="n">
        <v>610</v>
      </c>
      <c r="H45" s="6" t="n">
        <v>645</v>
      </c>
      <c r="I45" s="6" t="n">
        <v>0</v>
      </c>
      <c r="J45" s="6" t="n">
        <v>20</v>
      </c>
      <c r="K45" s="6" t="n">
        <f aca="false">IF($F45="","",$F45*$H45)</f>
        <v>20530.35</v>
      </c>
      <c r="L45" s="6" t="n">
        <f aca="false">IFERROR(ROUND($F45*$G45,-1),"")</f>
        <v>19420</v>
      </c>
      <c r="M45" s="4"/>
      <c r="N45" s="5" t="n">
        <f aca="false">IF($F45="","",IF(N($I45)&gt;0,$F45,0))</f>
        <v>0</v>
      </c>
      <c r="O45" s="6" t="n">
        <f aca="false">IF($F45="","",N($N45)*N($I45))</f>
        <v>0</v>
      </c>
      <c r="P45" s="6" t="str">
        <f aca="false">IF(OR($C45=P$1,$C45="Titan Rocks"),$K45,"")</f>
        <v/>
      </c>
      <c r="Q45" s="6" t="str">
        <f aca="false">IF($C45=Q$1,$K45,"")</f>
        <v/>
      </c>
      <c r="R45" s="5" t="str">
        <f aca="false">IF($C45=Q$1,$F45,"")</f>
        <v/>
      </c>
      <c r="S45" s="6" t="str">
        <f aca="false">IF($C45=S$1,$K45,"")</f>
        <v/>
      </c>
      <c r="T45" s="5" t="str">
        <f aca="false">IF($C45=S$1,$F45,"")</f>
        <v/>
      </c>
      <c r="U45" s="6" t="str">
        <f aca="false">IF($C45=U$1,$K45,"")</f>
        <v/>
      </c>
      <c r="V45" s="5" t="str">
        <f aca="false">IF($C45=U$1,$F45,"")</f>
        <v/>
      </c>
      <c r="W45" s="6" t="str">
        <f aca="false">IF($C45=W$1,$K45,"")</f>
        <v/>
      </c>
      <c r="X45" s="5" t="str">
        <f aca="false">IF($C45=W$1,$F45,"")</f>
        <v/>
      </c>
      <c r="Y45" s="6" t="str">
        <f aca="false">IF($C45=Y$1,$K45,"")</f>
        <v/>
      </c>
      <c r="Z45" s="5" t="str">
        <f aca="false">IF($C45=Y$1,$F45,"")</f>
        <v/>
      </c>
      <c r="AA45" s="6" t="str">
        <f aca="false">IF($C45=AA$1,$K45,"")</f>
        <v/>
      </c>
      <c r="AB45" s="5" t="str">
        <f aca="false">IF($C45=AA$1,$F45,"")</f>
        <v/>
      </c>
      <c r="AC45" s="6" t="str">
        <f aca="false">IF($C45=AC$1,$K45,"")</f>
        <v/>
      </c>
      <c r="AD45" s="5" t="str">
        <f aca="false">IF($C45=AC$1,$F45,"")</f>
        <v/>
      </c>
      <c r="AE45" s="6" t="str">
        <f aca="false">IF($C45=AE$1,$K45,"")</f>
        <v/>
      </c>
      <c r="AF45" s="5" t="str">
        <f aca="false">IF($C45=AE$1,$F45,"")</f>
        <v/>
      </c>
      <c r="AG45" s="6" t="str">
        <f aca="false">IF($C45=AG$1,$K45,"")</f>
        <v/>
      </c>
      <c r="AH45" s="5" t="str">
        <f aca="false">IF($C45=AG$1,$F45,"")</f>
        <v/>
      </c>
      <c r="AI45" s="6" t="str">
        <f aca="false">IF($C45=AI$1,$K45,"")</f>
        <v/>
      </c>
      <c r="AJ45" s="5" t="str">
        <f aca="false">IF($C45=AI$1,$F45,"")</f>
        <v/>
      </c>
      <c r="AK45" s="6" t="str">
        <f aca="false">IF($C45=AK$1,$K45,"")</f>
        <v/>
      </c>
      <c r="AL45" s="5" t="str">
        <f aca="false">IF($C45=AK$1,$F45,"")</f>
        <v/>
      </c>
      <c r="AM45" s="6" t="str">
        <f aca="false">IF($C45=AM$1,$K45,"")</f>
        <v/>
      </c>
      <c r="AN45" s="5" t="str">
        <f aca="false">IF($C45=AM$1,$F45,"")</f>
        <v/>
      </c>
      <c r="AO45" s="6" t="n">
        <f aca="false">IF($C45=AO$1,$K45,"")</f>
        <v>20530.35</v>
      </c>
      <c r="AP45" s="5" t="n">
        <f aca="false">IF($C45=AO$1,$F45,"")</f>
        <v>31.83</v>
      </c>
      <c r="AQ45" s="5" t="n">
        <f aca="false">IF($F45="",0,IF($D45=AQ$1,$F45,0))</f>
        <v>0</v>
      </c>
      <c r="AR45" s="6" t="n">
        <f aca="false">IF($D45=AQ$1,N($K45)-N($L45)-N($O45),0)</f>
        <v>0</v>
      </c>
      <c r="AS45" s="5" t="n">
        <f aca="false">IF($F45="",0,IF($D45=AS$1,$F45,0))</f>
        <v>31.83</v>
      </c>
      <c r="AT45" s="6" t="n">
        <f aca="false">IF($D45=AS$1,N($K45)-N($L45)-N($O45),0)</f>
        <v>1110.35</v>
      </c>
      <c r="AU45" s="5" t="n">
        <f aca="false">IF(N($J45)&gt;0,N($F45),0)</f>
        <v>31.83</v>
      </c>
      <c r="AV45" s="6" t="n">
        <f aca="false">IF(N($J45)&gt;0,$F45*$J45,0)</f>
        <v>636.6</v>
      </c>
    </row>
    <row r="46" customFormat="false" ht="15" hidden="false" customHeight="false" outlineLevel="0" collapsed="false">
      <c r="A46" s="16" t="n">
        <v>45988</v>
      </c>
      <c r="B46" s="4" t="s">
        <v>232</v>
      </c>
      <c r="C46" s="4" t="s">
        <v>27</v>
      </c>
      <c r="D46" s="4" t="s">
        <v>68</v>
      </c>
      <c r="E46" s="4" t="n">
        <f aca="false">E45+1</f>
        <v>44</v>
      </c>
      <c r="F46" s="5" t="n">
        <v>34.22</v>
      </c>
      <c r="G46" s="6" t="n">
        <v>610</v>
      </c>
      <c r="H46" s="6" t="n">
        <v>645</v>
      </c>
      <c r="I46" s="6" t="n">
        <v>0</v>
      </c>
      <c r="J46" s="6" t="n">
        <v>20</v>
      </c>
      <c r="K46" s="6" t="n">
        <f aca="false">IF($F46="","",$F46*$H46)</f>
        <v>22071.9</v>
      </c>
      <c r="L46" s="6" t="n">
        <f aca="false">IFERROR(ROUND($F46*$G46,-1),"")</f>
        <v>20870</v>
      </c>
      <c r="M46" s="4"/>
      <c r="N46" s="5" t="n">
        <f aca="false">IF($F46="","",IF(N($I46)&gt;0,$F46,0))</f>
        <v>0</v>
      </c>
      <c r="O46" s="6" t="n">
        <f aca="false">IF($F46="","",N($N46)*N($I46))</f>
        <v>0</v>
      </c>
      <c r="P46" s="6" t="str">
        <f aca="false">IF(OR($C46=P$1,$C46="Titan Rocks"),$K46,"")</f>
        <v/>
      </c>
      <c r="Q46" s="6" t="str">
        <f aca="false">IF($C46=Q$1,$K46,"")</f>
        <v/>
      </c>
      <c r="R46" s="5" t="str">
        <f aca="false">IF($C46=Q$1,$F46,"")</f>
        <v/>
      </c>
      <c r="S46" s="6" t="str">
        <f aca="false">IF($C46=S$1,$K46,"")</f>
        <v/>
      </c>
      <c r="T46" s="5" t="str">
        <f aca="false">IF($C46=S$1,$F46,"")</f>
        <v/>
      </c>
      <c r="U46" s="6" t="str">
        <f aca="false">IF($C46=U$1,$K46,"")</f>
        <v/>
      </c>
      <c r="V46" s="5" t="str">
        <f aca="false">IF($C46=U$1,$F46,"")</f>
        <v/>
      </c>
      <c r="W46" s="6" t="str">
        <f aca="false">IF($C46=W$1,$K46,"")</f>
        <v/>
      </c>
      <c r="X46" s="5" t="str">
        <f aca="false">IF($C46=W$1,$F46,"")</f>
        <v/>
      </c>
      <c r="Y46" s="6" t="str">
        <f aca="false">IF($C46=Y$1,$K46,"")</f>
        <v/>
      </c>
      <c r="Z46" s="5" t="str">
        <f aca="false">IF($C46=Y$1,$F46,"")</f>
        <v/>
      </c>
      <c r="AA46" s="6" t="str">
        <f aca="false">IF($C46=AA$1,$K46,"")</f>
        <v/>
      </c>
      <c r="AB46" s="5" t="str">
        <f aca="false">IF($C46=AA$1,$F46,"")</f>
        <v/>
      </c>
      <c r="AC46" s="6" t="str">
        <f aca="false">IF($C46=AC$1,$K46,"")</f>
        <v/>
      </c>
      <c r="AD46" s="5" t="str">
        <f aca="false">IF($C46=AC$1,$F46,"")</f>
        <v/>
      </c>
      <c r="AE46" s="6" t="str">
        <f aca="false">IF($C46=AE$1,$K46,"")</f>
        <v/>
      </c>
      <c r="AF46" s="5" t="str">
        <f aca="false">IF($C46=AE$1,$F46,"")</f>
        <v/>
      </c>
      <c r="AG46" s="6" t="str">
        <f aca="false">IF($C46=AG$1,$K46,"")</f>
        <v/>
      </c>
      <c r="AH46" s="5" t="str">
        <f aca="false">IF($C46=AG$1,$F46,"")</f>
        <v/>
      </c>
      <c r="AI46" s="6" t="str">
        <f aca="false">IF($C46=AI$1,$K46,"")</f>
        <v/>
      </c>
      <c r="AJ46" s="5" t="str">
        <f aca="false">IF($C46=AI$1,$F46,"")</f>
        <v/>
      </c>
      <c r="AK46" s="6" t="str">
        <f aca="false">IF($C46=AK$1,$K46,"")</f>
        <v/>
      </c>
      <c r="AL46" s="5" t="str">
        <f aca="false">IF($C46=AK$1,$F46,"")</f>
        <v/>
      </c>
      <c r="AM46" s="6" t="str">
        <f aca="false">IF($C46=AM$1,$K46,"")</f>
        <v/>
      </c>
      <c r="AN46" s="5" t="str">
        <f aca="false">IF($C46=AM$1,$F46,"")</f>
        <v/>
      </c>
      <c r="AO46" s="6" t="n">
        <f aca="false">IF($C46=AO$1,$K46,"")</f>
        <v>22071.9</v>
      </c>
      <c r="AP46" s="5" t="n">
        <f aca="false">IF($C46=AO$1,$F46,"")</f>
        <v>34.22</v>
      </c>
      <c r="AQ46" s="5" t="n">
        <f aca="false">IF($F46="",0,IF($D46=AQ$1,$F46,0))</f>
        <v>0</v>
      </c>
      <c r="AR46" s="6" t="n">
        <f aca="false">IF($D46=AQ$1,N($K46)-N($L46)-N($O46),0)</f>
        <v>0</v>
      </c>
      <c r="AS46" s="5" t="n">
        <f aca="false">IF($F46="",0,IF($D46=AS$1,$F46,0))</f>
        <v>34.22</v>
      </c>
      <c r="AT46" s="6" t="n">
        <f aca="false">IF($D46=AS$1,N($K46)-N($L46)-N($O46),0)</f>
        <v>1201.9</v>
      </c>
      <c r="AU46" s="5" t="n">
        <f aca="false">IF(N($J46)&gt;0,N($F46),0)</f>
        <v>34.22</v>
      </c>
      <c r="AV46" s="6" t="n">
        <f aca="false">IF(N($J46)&gt;0,$F46*$J46,0)</f>
        <v>684.4</v>
      </c>
    </row>
    <row r="47" customFormat="false" ht="15" hidden="false" customHeight="false" outlineLevel="0" collapsed="false">
      <c r="A47" s="16" t="n">
        <v>45988</v>
      </c>
      <c r="B47" s="4" t="s">
        <v>232</v>
      </c>
      <c r="C47" s="4" t="s">
        <v>27</v>
      </c>
      <c r="D47" s="4" t="s">
        <v>68</v>
      </c>
      <c r="E47" s="4" t="n">
        <f aca="false">E46+1</f>
        <v>45</v>
      </c>
      <c r="F47" s="5" t="n">
        <v>30.8</v>
      </c>
      <c r="G47" s="6" t="n">
        <v>610</v>
      </c>
      <c r="H47" s="6" t="n">
        <v>645</v>
      </c>
      <c r="I47" s="6" t="n">
        <v>0</v>
      </c>
      <c r="J47" s="6" t="n">
        <v>20</v>
      </c>
      <c r="K47" s="6" t="n">
        <f aca="false">IF($F47="","",$F47*$H47)</f>
        <v>19866</v>
      </c>
      <c r="L47" s="6" t="n">
        <f aca="false">IFERROR(ROUND($F47*$G47,-1),"")</f>
        <v>18790</v>
      </c>
      <c r="M47" s="4"/>
      <c r="N47" s="5" t="n">
        <f aca="false">IF($F47="","",IF(N($I47)&gt;0,$F47,0))</f>
        <v>0</v>
      </c>
      <c r="O47" s="6" t="n">
        <f aca="false">IF($F47="","",N($N47)*N($I47))</f>
        <v>0</v>
      </c>
      <c r="P47" s="6" t="str">
        <f aca="false">IF(OR($C47=P$1,$C47="Titan Rocks"),$K47,"")</f>
        <v/>
      </c>
      <c r="Q47" s="6" t="str">
        <f aca="false">IF($C47=Q$1,$K47,"")</f>
        <v/>
      </c>
      <c r="R47" s="5" t="str">
        <f aca="false">IF($C47=Q$1,$F47,"")</f>
        <v/>
      </c>
      <c r="S47" s="6" t="str">
        <f aca="false">IF($C47=S$1,$K47,"")</f>
        <v/>
      </c>
      <c r="T47" s="5" t="str">
        <f aca="false">IF($C47=S$1,$F47,"")</f>
        <v/>
      </c>
      <c r="U47" s="6" t="str">
        <f aca="false">IF($C47=U$1,$K47,"")</f>
        <v/>
      </c>
      <c r="V47" s="5" t="str">
        <f aca="false">IF($C47=U$1,$F47,"")</f>
        <v/>
      </c>
      <c r="W47" s="6" t="str">
        <f aca="false">IF($C47=W$1,$K47,"")</f>
        <v/>
      </c>
      <c r="X47" s="5" t="str">
        <f aca="false">IF($C47=W$1,$F47,"")</f>
        <v/>
      </c>
      <c r="Y47" s="6" t="str">
        <f aca="false">IF($C47=Y$1,$K47,"")</f>
        <v/>
      </c>
      <c r="Z47" s="5" t="str">
        <f aca="false">IF($C47=Y$1,$F47,"")</f>
        <v/>
      </c>
      <c r="AA47" s="6" t="str">
        <f aca="false">IF($C47=AA$1,$K47,"")</f>
        <v/>
      </c>
      <c r="AB47" s="5" t="str">
        <f aca="false">IF($C47=AA$1,$F47,"")</f>
        <v/>
      </c>
      <c r="AC47" s="6" t="str">
        <f aca="false">IF($C47=AC$1,$K47,"")</f>
        <v/>
      </c>
      <c r="AD47" s="5" t="str">
        <f aca="false">IF($C47=AC$1,$F47,"")</f>
        <v/>
      </c>
      <c r="AE47" s="6" t="str">
        <f aca="false">IF($C47=AE$1,$K47,"")</f>
        <v/>
      </c>
      <c r="AF47" s="5" t="str">
        <f aca="false">IF($C47=AE$1,$F47,"")</f>
        <v/>
      </c>
      <c r="AG47" s="6" t="str">
        <f aca="false">IF($C47=AG$1,$K47,"")</f>
        <v/>
      </c>
      <c r="AH47" s="5" t="str">
        <f aca="false">IF($C47=AG$1,$F47,"")</f>
        <v/>
      </c>
      <c r="AI47" s="6" t="str">
        <f aca="false">IF($C47=AI$1,$K47,"")</f>
        <v/>
      </c>
      <c r="AJ47" s="5" t="str">
        <f aca="false">IF($C47=AI$1,$F47,"")</f>
        <v/>
      </c>
      <c r="AK47" s="6" t="str">
        <f aca="false">IF($C47=AK$1,$K47,"")</f>
        <v/>
      </c>
      <c r="AL47" s="5" t="str">
        <f aca="false">IF($C47=AK$1,$F47,"")</f>
        <v/>
      </c>
      <c r="AM47" s="6" t="str">
        <f aca="false">IF($C47=AM$1,$K47,"")</f>
        <v/>
      </c>
      <c r="AN47" s="5" t="str">
        <f aca="false">IF($C47=AM$1,$F47,"")</f>
        <v/>
      </c>
      <c r="AO47" s="6" t="n">
        <f aca="false">IF($C47=AO$1,$K47,"")</f>
        <v>19866</v>
      </c>
      <c r="AP47" s="5" t="n">
        <f aca="false">IF($C47=AO$1,$F47,"")</f>
        <v>30.8</v>
      </c>
      <c r="AQ47" s="5" t="n">
        <f aca="false">IF($F47="",0,IF($D47=AQ$1,$F47,0))</f>
        <v>0</v>
      </c>
      <c r="AR47" s="6" t="n">
        <f aca="false">IF($D47=AQ$1,N($K47)-N($L47)-N($O47),0)</f>
        <v>0</v>
      </c>
      <c r="AS47" s="5" t="n">
        <f aca="false">IF($F47="",0,IF($D47=AS$1,$F47,0))</f>
        <v>30.8</v>
      </c>
      <c r="AT47" s="6" t="n">
        <f aca="false">IF($D47=AS$1,N($K47)-N($L47)-N($O47),0)</f>
        <v>1076</v>
      </c>
      <c r="AU47" s="5" t="n">
        <f aca="false">IF(N($J47)&gt;0,N($F47),0)</f>
        <v>30.8</v>
      </c>
      <c r="AV47" s="6" t="n">
        <f aca="false">IF(N($J47)&gt;0,$F47*$J47,0)</f>
        <v>616</v>
      </c>
    </row>
    <row r="48" customFormat="false" ht="15" hidden="false" customHeight="false" outlineLevel="0" collapsed="false">
      <c r="A48" s="16" t="n">
        <v>45988</v>
      </c>
      <c r="B48" s="4" t="s">
        <v>232</v>
      </c>
      <c r="C48" s="4" t="s">
        <v>27</v>
      </c>
      <c r="D48" s="4" t="s">
        <v>68</v>
      </c>
      <c r="E48" s="4" t="n">
        <f aca="false">E47+1</f>
        <v>46</v>
      </c>
      <c r="F48" s="5" t="n">
        <v>29.43</v>
      </c>
      <c r="G48" s="6" t="n">
        <v>610</v>
      </c>
      <c r="H48" s="6" t="n">
        <v>645</v>
      </c>
      <c r="I48" s="6" t="n">
        <v>0</v>
      </c>
      <c r="J48" s="6" t="n">
        <v>20</v>
      </c>
      <c r="K48" s="6" t="n">
        <f aca="false">IF($F48="","",$F48*$H48)</f>
        <v>18982.35</v>
      </c>
      <c r="L48" s="6" t="n">
        <f aca="false">IFERROR(ROUND($F48*$G48,-1),"")</f>
        <v>17950</v>
      </c>
      <c r="M48" s="4"/>
      <c r="N48" s="5" t="n">
        <f aca="false">IF($F48="","",IF(N($I48)&gt;0,$F48,0))</f>
        <v>0</v>
      </c>
      <c r="O48" s="6" t="n">
        <f aca="false">IF($F48="","",N($N48)*N($I48))</f>
        <v>0</v>
      </c>
      <c r="P48" s="6" t="str">
        <f aca="false">IF(OR($C48=P$1,$C48="Titan Rocks"),$K48,"")</f>
        <v/>
      </c>
      <c r="Q48" s="6" t="str">
        <f aca="false">IF($C48=Q$1,$K48,"")</f>
        <v/>
      </c>
      <c r="R48" s="5" t="str">
        <f aca="false">IF($C48=Q$1,$F48,"")</f>
        <v/>
      </c>
      <c r="S48" s="6" t="str">
        <f aca="false">IF($C48=S$1,$K48,"")</f>
        <v/>
      </c>
      <c r="T48" s="5" t="str">
        <f aca="false">IF($C48=S$1,$F48,"")</f>
        <v/>
      </c>
      <c r="U48" s="6" t="str">
        <f aca="false">IF($C48=U$1,$K48,"")</f>
        <v/>
      </c>
      <c r="V48" s="5" t="str">
        <f aca="false">IF($C48=U$1,$F48,"")</f>
        <v/>
      </c>
      <c r="W48" s="6" t="str">
        <f aca="false">IF($C48=W$1,$K48,"")</f>
        <v/>
      </c>
      <c r="X48" s="5" t="str">
        <f aca="false">IF($C48=W$1,$F48,"")</f>
        <v/>
      </c>
      <c r="Y48" s="6" t="str">
        <f aca="false">IF($C48=Y$1,$K48,"")</f>
        <v/>
      </c>
      <c r="Z48" s="5" t="str">
        <f aca="false">IF($C48=Y$1,$F48,"")</f>
        <v/>
      </c>
      <c r="AA48" s="6" t="str">
        <f aca="false">IF($C48=AA$1,$K48,"")</f>
        <v/>
      </c>
      <c r="AB48" s="5" t="str">
        <f aca="false">IF($C48=AA$1,$F48,"")</f>
        <v/>
      </c>
      <c r="AC48" s="6" t="str">
        <f aca="false">IF($C48=AC$1,$K48,"")</f>
        <v/>
      </c>
      <c r="AD48" s="5" t="str">
        <f aca="false">IF($C48=AC$1,$F48,"")</f>
        <v/>
      </c>
      <c r="AE48" s="6" t="str">
        <f aca="false">IF($C48=AE$1,$K48,"")</f>
        <v/>
      </c>
      <c r="AF48" s="5" t="str">
        <f aca="false">IF($C48=AE$1,$F48,"")</f>
        <v/>
      </c>
      <c r="AG48" s="6" t="str">
        <f aca="false">IF($C48=AG$1,$K48,"")</f>
        <v/>
      </c>
      <c r="AH48" s="5" t="str">
        <f aca="false">IF($C48=AG$1,$F48,"")</f>
        <v/>
      </c>
      <c r="AI48" s="6" t="str">
        <f aca="false">IF($C48=AI$1,$K48,"")</f>
        <v/>
      </c>
      <c r="AJ48" s="5" t="str">
        <f aca="false">IF($C48=AI$1,$F48,"")</f>
        <v/>
      </c>
      <c r="AK48" s="6" t="str">
        <f aca="false">IF($C48=AK$1,$K48,"")</f>
        <v/>
      </c>
      <c r="AL48" s="5" t="str">
        <f aca="false">IF($C48=AK$1,$F48,"")</f>
        <v/>
      </c>
      <c r="AM48" s="6" t="str">
        <f aca="false">IF($C48=AM$1,$K48,"")</f>
        <v/>
      </c>
      <c r="AN48" s="5" t="str">
        <f aca="false">IF($C48=AM$1,$F48,"")</f>
        <v/>
      </c>
      <c r="AO48" s="6" t="n">
        <f aca="false">IF($C48=AO$1,$K48,"")</f>
        <v>18982.35</v>
      </c>
      <c r="AP48" s="5" t="n">
        <f aca="false">IF($C48=AO$1,$F48,"")</f>
        <v>29.43</v>
      </c>
      <c r="AQ48" s="5" t="n">
        <f aca="false">IF($F48="",0,IF($D48=AQ$1,$F48,0))</f>
        <v>0</v>
      </c>
      <c r="AR48" s="6" t="n">
        <f aca="false">IF($D48=AQ$1,N($K48)-N($L48)-N($O48),0)</f>
        <v>0</v>
      </c>
      <c r="AS48" s="5" t="n">
        <f aca="false">IF($F48="",0,IF($D48=AS$1,$F48,0))</f>
        <v>29.43</v>
      </c>
      <c r="AT48" s="6" t="n">
        <f aca="false">IF($D48=AS$1,N($K48)-N($L48)-N($O48),0)</f>
        <v>1032.35</v>
      </c>
      <c r="AU48" s="5" t="n">
        <f aca="false">IF(N($J48)&gt;0,N($F48),0)</f>
        <v>29.43</v>
      </c>
      <c r="AV48" s="6" t="n">
        <f aca="false">IF(N($J48)&gt;0,$F48*$J48,0)</f>
        <v>588.6</v>
      </c>
    </row>
    <row r="49" customFormat="false" ht="15" hidden="false" customHeight="false" outlineLevel="0" collapsed="false">
      <c r="A49" s="16" t="n">
        <v>45988</v>
      </c>
      <c r="B49" s="4" t="s">
        <v>232</v>
      </c>
      <c r="C49" s="4" t="s">
        <v>27</v>
      </c>
      <c r="D49" s="4" t="s">
        <v>68</v>
      </c>
      <c r="E49" s="4" t="n">
        <f aca="false">E48+1</f>
        <v>47</v>
      </c>
      <c r="F49" s="5" t="n">
        <v>32.78</v>
      </c>
      <c r="G49" s="6" t="n">
        <v>610</v>
      </c>
      <c r="H49" s="6" t="n">
        <v>645</v>
      </c>
      <c r="I49" s="6" t="n">
        <v>0</v>
      </c>
      <c r="J49" s="6" t="n">
        <v>20</v>
      </c>
      <c r="K49" s="6" t="n">
        <f aca="false">IF($F49="","",$F49*$H49)</f>
        <v>21143.1</v>
      </c>
      <c r="L49" s="6" t="n">
        <f aca="false">IFERROR(ROUND($F49*$G49,-1),"")</f>
        <v>20000</v>
      </c>
      <c r="M49" s="4"/>
      <c r="N49" s="5" t="n">
        <f aca="false">IF($F49="","",IF(N($I49)&gt;0,$F49,0))</f>
        <v>0</v>
      </c>
      <c r="O49" s="6" t="n">
        <f aca="false">IF($F49="","",N($N49)*N($I49))</f>
        <v>0</v>
      </c>
      <c r="P49" s="6" t="str">
        <f aca="false">IF(OR($C49=P$1,$C49="Titan Rocks"),$K49,"")</f>
        <v/>
      </c>
      <c r="Q49" s="6" t="str">
        <f aca="false">IF($C49=Q$1,$K49,"")</f>
        <v/>
      </c>
      <c r="R49" s="5" t="str">
        <f aca="false">IF($C49=Q$1,$F49,"")</f>
        <v/>
      </c>
      <c r="S49" s="6" t="str">
        <f aca="false">IF($C49=S$1,$K49,"")</f>
        <v/>
      </c>
      <c r="T49" s="5" t="str">
        <f aca="false">IF($C49=S$1,$F49,"")</f>
        <v/>
      </c>
      <c r="U49" s="6" t="str">
        <f aca="false">IF($C49=U$1,$K49,"")</f>
        <v/>
      </c>
      <c r="V49" s="5" t="str">
        <f aca="false">IF($C49=U$1,$F49,"")</f>
        <v/>
      </c>
      <c r="W49" s="6" t="str">
        <f aca="false">IF($C49=W$1,$K49,"")</f>
        <v/>
      </c>
      <c r="X49" s="5" t="str">
        <f aca="false">IF($C49=W$1,$F49,"")</f>
        <v/>
      </c>
      <c r="Y49" s="6" t="str">
        <f aca="false">IF($C49=Y$1,$K49,"")</f>
        <v/>
      </c>
      <c r="Z49" s="5" t="str">
        <f aca="false">IF($C49=Y$1,$F49,"")</f>
        <v/>
      </c>
      <c r="AA49" s="6" t="str">
        <f aca="false">IF($C49=AA$1,$K49,"")</f>
        <v/>
      </c>
      <c r="AB49" s="5" t="str">
        <f aca="false">IF($C49=AA$1,$F49,"")</f>
        <v/>
      </c>
      <c r="AC49" s="6" t="str">
        <f aca="false">IF($C49=AC$1,$K49,"")</f>
        <v/>
      </c>
      <c r="AD49" s="5" t="str">
        <f aca="false">IF($C49=AC$1,$F49,"")</f>
        <v/>
      </c>
      <c r="AE49" s="6" t="str">
        <f aca="false">IF($C49=AE$1,$K49,"")</f>
        <v/>
      </c>
      <c r="AF49" s="5" t="str">
        <f aca="false">IF($C49=AE$1,$F49,"")</f>
        <v/>
      </c>
      <c r="AG49" s="6" t="str">
        <f aca="false">IF($C49=AG$1,$K49,"")</f>
        <v/>
      </c>
      <c r="AH49" s="5" t="str">
        <f aca="false">IF($C49=AG$1,$F49,"")</f>
        <v/>
      </c>
      <c r="AI49" s="6" t="str">
        <f aca="false">IF($C49=AI$1,$K49,"")</f>
        <v/>
      </c>
      <c r="AJ49" s="5" t="str">
        <f aca="false">IF($C49=AI$1,$F49,"")</f>
        <v/>
      </c>
      <c r="AK49" s="6" t="str">
        <f aca="false">IF($C49=AK$1,$K49,"")</f>
        <v/>
      </c>
      <c r="AL49" s="5" t="str">
        <f aca="false">IF($C49=AK$1,$F49,"")</f>
        <v/>
      </c>
      <c r="AM49" s="6" t="str">
        <f aca="false">IF($C49=AM$1,$K49,"")</f>
        <v/>
      </c>
      <c r="AN49" s="5" t="str">
        <f aca="false">IF($C49=AM$1,$F49,"")</f>
        <v/>
      </c>
      <c r="AO49" s="6" t="n">
        <f aca="false">IF($C49=AO$1,$K49,"")</f>
        <v>21143.1</v>
      </c>
      <c r="AP49" s="5" t="n">
        <f aca="false">IF($C49=AO$1,$F49,"")</f>
        <v>32.78</v>
      </c>
      <c r="AQ49" s="5" t="n">
        <f aca="false">IF($F49="",0,IF($D49=AQ$1,$F49,0))</f>
        <v>0</v>
      </c>
      <c r="AR49" s="6" t="n">
        <f aca="false">IF($D49=AQ$1,N($K49)-N($L49)-N($O49),0)</f>
        <v>0</v>
      </c>
      <c r="AS49" s="5" t="n">
        <f aca="false">IF($F49="",0,IF($D49=AS$1,$F49,0))</f>
        <v>32.78</v>
      </c>
      <c r="AT49" s="6" t="n">
        <f aca="false">IF($D49=AS$1,N($K49)-N($L49)-N($O49),0)</f>
        <v>1143.1</v>
      </c>
      <c r="AU49" s="5" t="n">
        <f aca="false">IF(N($J49)&gt;0,N($F49),0)</f>
        <v>32.78</v>
      </c>
      <c r="AV49" s="6" t="n">
        <f aca="false">IF(N($J49)&gt;0,$F49*$J49,0)</f>
        <v>655.6</v>
      </c>
    </row>
    <row r="50" customFormat="false" ht="15" hidden="false" customHeight="false" outlineLevel="0" collapsed="false">
      <c r="A50" s="16" t="n">
        <v>45988</v>
      </c>
      <c r="B50" s="4" t="s">
        <v>232</v>
      </c>
      <c r="C50" s="4" t="s">
        <v>27</v>
      </c>
      <c r="D50" s="4" t="s">
        <v>68</v>
      </c>
      <c r="E50" s="4" t="n">
        <f aca="false">E49+1</f>
        <v>48</v>
      </c>
      <c r="F50" s="5" t="n">
        <v>32.87</v>
      </c>
      <c r="G50" s="6" t="n">
        <v>610</v>
      </c>
      <c r="H50" s="6" t="n">
        <v>645</v>
      </c>
      <c r="I50" s="6" t="n">
        <v>0</v>
      </c>
      <c r="J50" s="6" t="n">
        <v>20</v>
      </c>
      <c r="K50" s="6" t="n">
        <f aca="false">IF($F50="","",$F50*$H50)</f>
        <v>21201.15</v>
      </c>
      <c r="L50" s="6" t="n">
        <f aca="false">IFERROR(ROUND($F50*$G50,-1),"")</f>
        <v>20050</v>
      </c>
      <c r="M50" s="4"/>
      <c r="N50" s="5" t="n">
        <f aca="false">IF($F50="","",IF(N($I50)&gt;0,$F50,0))</f>
        <v>0</v>
      </c>
      <c r="O50" s="6" t="n">
        <f aca="false">IF($F50="","",N($N50)*N($I50))</f>
        <v>0</v>
      </c>
      <c r="P50" s="6" t="str">
        <f aca="false">IF(OR($C50=P$1,$C50="Titan Rocks"),$K50,"")</f>
        <v/>
      </c>
      <c r="Q50" s="6" t="str">
        <f aca="false">IF($C50=Q$1,$K50,"")</f>
        <v/>
      </c>
      <c r="R50" s="5" t="str">
        <f aca="false">IF($C50=Q$1,$F50,"")</f>
        <v/>
      </c>
      <c r="S50" s="6" t="str">
        <f aca="false">IF($C50=S$1,$K50,"")</f>
        <v/>
      </c>
      <c r="T50" s="5" t="str">
        <f aca="false">IF($C50=S$1,$F50,"")</f>
        <v/>
      </c>
      <c r="U50" s="6" t="str">
        <f aca="false">IF($C50=U$1,$K50,"")</f>
        <v/>
      </c>
      <c r="V50" s="5" t="str">
        <f aca="false">IF($C50=U$1,$F50,"")</f>
        <v/>
      </c>
      <c r="W50" s="6" t="str">
        <f aca="false">IF($C50=W$1,$K50,"")</f>
        <v/>
      </c>
      <c r="X50" s="5" t="str">
        <f aca="false">IF($C50=W$1,$F50,"")</f>
        <v/>
      </c>
      <c r="Y50" s="6" t="str">
        <f aca="false">IF($C50=Y$1,$K50,"")</f>
        <v/>
      </c>
      <c r="Z50" s="5" t="str">
        <f aca="false">IF($C50=Y$1,$F50,"")</f>
        <v/>
      </c>
      <c r="AA50" s="6" t="str">
        <f aca="false">IF($C50=AA$1,$K50,"")</f>
        <v/>
      </c>
      <c r="AB50" s="5" t="str">
        <f aca="false">IF($C50=AA$1,$F50,"")</f>
        <v/>
      </c>
      <c r="AC50" s="6" t="str">
        <f aca="false">IF($C50=AC$1,$K50,"")</f>
        <v/>
      </c>
      <c r="AD50" s="5" t="str">
        <f aca="false">IF($C50=AC$1,$F50,"")</f>
        <v/>
      </c>
      <c r="AE50" s="6" t="str">
        <f aca="false">IF($C50=AE$1,$K50,"")</f>
        <v/>
      </c>
      <c r="AF50" s="5" t="str">
        <f aca="false">IF($C50=AE$1,$F50,"")</f>
        <v/>
      </c>
      <c r="AG50" s="6" t="str">
        <f aca="false">IF($C50=AG$1,$K50,"")</f>
        <v/>
      </c>
      <c r="AH50" s="5" t="str">
        <f aca="false">IF($C50=AG$1,$F50,"")</f>
        <v/>
      </c>
      <c r="AI50" s="6" t="str">
        <f aca="false">IF($C50=AI$1,$K50,"")</f>
        <v/>
      </c>
      <c r="AJ50" s="5" t="str">
        <f aca="false">IF($C50=AI$1,$F50,"")</f>
        <v/>
      </c>
      <c r="AK50" s="6" t="str">
        <f aca="false">IF($C50=AK$1,$K50,"")</f>
        <v/>
      </c>
      <c r="AL50" s="5" t="str">
        <f aca="false">IF($C50=AK$1,$F50,"")</f>
        <v/>
      </c>
      <c r="AM50" s="6" t="str">
        <f aca="false">IF($C50=AM$1,$K50,"")</f>
        <v/>
      </c>
      <c r="AN50" s="5" t="str">
        <f aca="false">IF($C50=AM$1,$F50,"")</f>
        <v/>
      </c>
      <c r="AO50" s="6" t="n">
        <f aca="false">IF($C50=AO$1,$K50,"")</f>
        <v>21201.15</v>
      </c>
      <c r="AP50" s="5" t="n">
        <f aca="false">IF($C50=AO$1,$F50,"")</f>
        <v>32.87</v>
      </c>
      <c r="AQ50" s="5" t="n">
        <f aca="false">IF($F50="",0,IF($D50=AQ$1,$F50,0))</f>
        <v>0</v>
      </c>
      <c r="AR50" s="6" t="n">
        <f aca="false">IF($D50=AQ$1,N($K50)-N($L50)-N($O50),0)</f>
        <v>0</v>
      </c>
      <c r="AS50" s="5" t="n">
        <f aca="false">IF($F50="",0,IF($D50=AS$1,$F50,0))</f>
        <v>32.87</v>
      </c>
      <c r="AT50" s="6" t="n">
        <f aca="false">IF($D50=AS$1,N($K50)-N($L50)-N($O50),0)</f>
        <v>1151.15</v>
      </c>
      <c r="AU50" s="5" t="n">
        <f aca="false">IF(N($J50)&gt;0,N($F50),0)</f>
        <v>32.87</v>
      </c>
      <c r="AV50" s="6" t="n">
        <f aca="false">IF(N($J50)&gt;0,$F50*$J50,0)</f>
        <v>657.4</v>
      </c>
    </row>
    <row r="51" customFormat="false" ht="15" hidden="false" customHeight="false" outlineLevel="0" collapsed="false">
      <c r="A51" s="16" t="n">
        <v>45988</v>
      </c>
      <c r="B51" s="4" t="s">
        <v>232</v>
      </c>
      <c r="C51" s="4" t="s">
        <v>27</v>
      </c>
      <c r="D51" s="4" t="s">
        <v>67</v>
      </c>
      <c r="E51" s="4" t="n">
        <f aca="false">E50+1</f>
        <v>49</v>
      </c>
      <c r="F51" s="5" t="n">
        <v>30.24</v>
      </c>
      <c r="G51" s="6" t="n">
        <v>640</v>
      </c>
      <c r="H51" s="6" t="n">
        <v>645</v>
      </c>
      <c r="I51" s="6" t="n">
        <v>0</v>
      </c>
      <c r="J51" s="6" t="n">
        <v>20</v>
      </c>
      <c r="K51" s="6" t="n">
        <f aca="false">IF($F51="","",$F51*$H51)</f>
        <v>19504.8</v>
      </c>
      <c r="L51" s="6" t="n">
        <f aca="false">IFERROR(ROUND($F51*$G51,-1),"")</f>
        <v>19350</v>
      </c>
      <c r="M51" s="4"/>
      <c r="N51" s="5" t="n">
        <f aca="false">IF($F51="","",IF(N($I51)&gt;0,$F51,0))</f>
        <v>0</v>
      </c>
      <c r="O51" s="6" t="n">
        <f aca="false">IF($F51="","",N($N51)*N($I51))</f>
        <v>0</v>
      </c>
      <c r="P51" s="6" t="str">
        <f aca="false">IF(OR($C51=P$1,$C51="Titan Rocks"),$K51,"")</f>
        <v/>
      </c>
      <c r="Q51" s="6" t="str">
        <f aca="false">IF($C51=Q$1,$K51,"")</f>
        <v/>
      </c>
      <c r="R51" s="5" t="str">
        <f aca="false">IF($C51=Q$1,$F51,"")</f>
        <v/>
      </c>
      <c r="S51" s="6" t="str">
        <f aca="false">IF($C51=S$1,$K51,"")</f>
        <v/>
      </c>
      <c r="T51" s="5" t="str">
        <f aca="false">IF($C51=S$1,$F51,"")</f>
        <v/>
      </c>
      <c r="U51" s="6" t="str">
        <f aca="false">IF($C51=U$1,$K51,"")</f>
        <v/>
      </c>
      <c r="V51" s="5" t="str">
        <f aca="false">IF($C51=U$1,$F51,"")</f>
        <v/>
      </c>
      <c r="W51" s="6" t="str">
        <f aca="false">IF($C51=W$1,$K51,"")</f>
        <v/>
      </c>
      <c r="X51" s="5" t="str">
        <f aca="false">IF($C51=W$1,$F51,"")</f>
        <v/>
      </c>
      <c r="Y51" s="6" t="str">
        <f aca="false">IF($C51=Y$1,$K51,"")</f>
        <v/>
      </c>
      <c r="Z51" s="5" t="str">
        <f aca="false">IF($C51=Y$1,$F51,"")</f>
        <v/>
      </c>
      <c r="AA51" s="6" t="str">
        <f aca="false">IF($C51=AA$1,$K51,"")</f>
        <v/>
      </c>
      <c r="AB51" s="5" t="str">
        <f aca="false">IF($C51=AA$1,$F51,"")</f>
        <v/>
      </c>
      <c r="AC51" s="6" t="str">
        <f aca="false">IF($C51=AC$1,$K51,"")</f>
        <v/>
      </c>
      <c r="AD51" s="5" t="str">
        <f aca="false">IF($C51=AC$1,$F51,"")</f>
        <v/>
      </c>
      <c r="AE51" s="6" t="str">
        <f aca="false">IF($C51=AE$1,$K51,"")</f>
        <v/>
      </c>
      <c r="AF51" s="5" t="str">
        <f aca="false">IF($C51=AE$1,$F51,"")</f>
        <v/>
      </c>
      <c r="AG51" s="6" t="str">
        <f aca="false">IF($C51=AG$1,$K51,"")</f>
        <v/>
      </c>
      <c r="AH51" s="5" t="str">
        <f aca="false">IF($C51=AG$1,$F51,"")</f>
        <v/>
      </c>
      <c r="AI51" s="6" t="str">
        <f aca="false">IF($C51=AI$1,$K51,"")</f>
        <v/>
      </c>
      <c r="AJ51" s="5" t="str">
        <f aca="false">IF($C51=AI$1,$F51,"")</f>
        <v/>
      </c>
      <c r="AK51" s="6" t="str">
        <f aca="false">IF($C51=AK$1,$K51,"")</f>
        <v/>
      </c>
      <c r="AL51" s="5" t="str">
        <f aca="false">IF($C51=AK$1,$F51,"")</f>
        <v/>
      </c>
      <c r="AM51" s="6" t="str">
        <f aca="false">IF($C51=AM$1,$K51,"")</f>
        <v/>
      </c>
      <c r="AN51" s="5" t="str">
        <f aca="false">IF($C51=AM$1,$F51,"")</f>
        <v/>
      </c>
      <c r="AO51" s="6" t="n">
        <f aca="false">IF($C51=AO$1,$K51,"")</f>
        <v>19504.8</v>
      </c>
      <c r="AP51" s="5" t="n">
        <f aca="false">IF($C51=AO$1,$F51,"")</f>
        <v>30.24</v>
      </c>
      <c r="AQ51" s="5" t="n">
        <f aca="false">IF($F51="",0,IF($D51=AQ$1,$F51,0))</f>
        <v>30.24</v>
      </c>
      <c r="AR51" s="6" t="n">
        <f aca="false">IF($D51=AQ$1,N($K51)-N($L51)-N($O51),0)</f>
        <v>154.799999999999</v>
      </c>
      <c r="AS51" s="5" t="n">
        <f aca="false">IF($F51="",0,IF($D51=AS$1,$F51,0))</f>
        <v>0</v>
      </c>
      <c r="AT51" s="6" t="n">
        <f aca="false">IF($D51=AS$1,N($K51)-N($L51)-N($O51),0)</f>
        <v>0</v>
      </c>
      <c r="AU51" s="5" t="n">
        <f aca="false">IF(N($J51)&gt;0,N($F51),0)</f>
        <v>30.24</v>
      </c>
      <c r="AV51" s="6" t="n">
        <f aca="false">IF(N($J51)&gt;0,$F51*$J51,0)</f>
        <v>604.8</v>
      </c>
    </row>
    <row r="52" customFormat="false" ht="15" hidden="false" customHeight="false" outlineLevel="0" collapsed="false">
      <c r="A52" s="16" t="n">
        <v>45990</v>
      </c>
      <c r="B52" s="4" t="s">
        <v>232</v>
      </c>
      <c r="C52" s="4" t="s">
        <v>15</v>
      </c>
      <c r="D52" s="4" t="s">
        <v>68</v>
      </c>
      <c r="E52" s="4" t="n">
        <f aca="false">E51+1</f>
        <v>50</v>
      </c>
      <c r="F52" s="5" t="n">
        <v>31.36</v>
      </c>
      <c r="G52" s="6" t="n">
        <v>610</v>
      </c>
      <c r="H52" s="6" t="n">
        <v>875</v>
      </c>
      <c r="I52" s="6" t="n">
        <v>220</v>
      </c>
      <c r="J52" s="6" t="n">
        <v>20</v>
      </c>
      <c r="K52" s="6" t="n">
        <f aca="false">IF($F52="","",$F52*$H52)</f>
        <v>27440</v>
      </c>
      <c r="L52" s="6" t="n">
        <f aca="false">IFERROR(ROUND($F52*$G52,-1),"")</f>
        <v>19130</v>
      </c>
      <c r="M52" s="4" t="s">
        <v>33</v>
      </c>
      <c r="N52" s="5" t="n">
        <f aca="false">IF($F52="","",IF(N($I52)&gt;0,$F52,0))</f>
        <v>31.36</v>
      </c>
      <c r="O52" s="6" t="n">
        <f aca="false">IF($F52="","",N($N52)*N($I52))</f>
        <v>6899.2</v>
      </c>
      <c r="P52" s="6" t="str">
        <f aca="false">IF(OR($C52=P$1,$C52="Titan Rocks"),$K52,"")</f>
        <v/>
      </c>
      <c r="Q52" s="6" t="n">
        <f aca="false">IF($C52=Q$1,$K52,"")</f>
        <v>27440</v>
      </c>
      <c r="R52" s="5" t="n">
        <f aca="false">IF($C52=Q$1,$F52,"")</f>
        <v>31.36</v>
      </c>
      <c r="S52" s="6" t="str">
        <f aca="false">IF($C52=S$1,$K52,"")</f>
        <v/>
      </c>
      <c r="T52" s="5" t="str">
        <f aca="false">IF($C52=S$1,$F52,"")</f>
        <v/>
      </c>
      <c r="U52" s="6" t="str">
        <f aca="false">IF($C52=U$1,$K52,"")</f>
        <v/>
      </c>
      <c r="V52" s="5" t="str">
        <f aca="false">IF($C52=U$1,$F52,"")</f>
        <v/>
      </c>
      <c r="W52" s="6" t="str">
        <f aca="false">IF($C52=W$1,$K52,"")</f>
        <v/>
      </c>
      <c r="X52" s="5" t="str">
        <f aca="false">IF($C52=W$1,$F52,"")</f>
        <v/>
      </c>
      <c r="Y52" s="6" t="str">
        <f aca="false">IF($C52=Y$1,$K52,"")</f>
        <v/>
      </c>
      <c r="Z52" s="5" t="str">
        <f aca="false">IF($C52=Y$1,$F52,"")</f>
        <v/>
      </c>
      <c r="AA52" s="6" t="str">
        <f aca="false">IF($C52=AA$1,$K52,"")</f>
        <v/>
      </c>
      <c r="AB52" s="5" t="str">
        <f aca="false">IF($C52=AA$1,$F52,"")</f>
        <v/>
      </c>
      <c r="AC52" s="6" t="str">
        <f aca="false">IF($C52=AC$1,$K52,"")</f>
        <v/>
      </c>
      <c r="AD52" s="5" t="str">
        <f aca="false">IF($C52=AC$1,$F52,"")</f>
        <v/>
      </c>
      <c r="AE52" s="6" t="str">
        <f aca="false">IF($C52=AE$1,$K52,"")</f>
        <v/>
      </c>
      <c r="AF52" s="5" t="str">
        <f aca="false">IF($C52=AE$1,$F52,"")</f>
        <v/>
      </c>
      <c r="AG52" s="6" t="str">
        <f aca="false">IF($C52=AG$1,$K52,"")</f>
        <v/>
      </c>
      <c r="AH52" s="5" t="str">
        <f aca="false">IF($C52=AG$1,$F52,"")</f>
        <v/>
      </c>
      <c r="AI52" s="6" t="str">
        <f aca="false">IF($C52=AI$1,$K52,"")</f>
        <v/>
      </c>
      <c r="AJ52" s="5" t="str">
        <f aca="false">IF($C52=AI$1,$F52,"")</f>
        <v/>
      </c>
      <c r="AK52" s="6" t="str">
        <f aca="false">IF($C52=AK$1,$K52,"")</f>
        <v/>
      </c>
      <c r="AL52" s="5" t="str">
        <f aca="false">IF($C52=AK$1,$F52,"")</f>
        <v/>
      </c>
      <c r="AM52" s="6" t="str">
        <f aca="false">IF($C52=AM$1,$K52,"")</f>
        <v/>
      </c>
      <c r="AN52" s="5" t="str">
        <f aca="false">IF($C52=AM$1,$F52,"")</f>
        <v/>
      </c>
      <c r="AO52" s="6" t="str">
        <f aca="false">IF($C52=AO$1,$K52,"")</f>
        <v/>
      </c>
      <c r="AP52" s="5" t="str">
        <f aca="false">IF($C52=AO$1,$F52,"")</f>
        <v/>
      </c>
      <c r="AQ52" s="5" t="n">
        <f aca="false">IF($F52="",0,IF($D52=AQ$1,$F52,0))</f>
        <v>0</v>
      </c>
      <c r="AR52" s="6" t="n">
        <f aca="false">IF($D52=AQ$1,N($K52)-N($L52)-N($O52),0)</f>
        <v>0</v>
      </c>
      <c r="AS52" s="5" t="n">
        <f aca="false">IF($F52="",0,IF($D52=AS$1,$F52,0))</f>
        <v>31.36</v>
      </c>
      <c r="AT52" s="6" t="n">
        <f aca="false">IF($D52=AS$1,N($K52)-N($L52)-N($O52),0)</f>
        <v>1410.8</v>
      </c>
      <c r="AU52" s="5" t="n">
        <f aca="false">IF(N($J52)&gt;0,N($F52),0)</f>
        <v>31.36</v>
      </c>
      <c r="AV52" s="6" t="n">
        <f aca="false">IF(N($J52)&gt;0,$F52*$J52,0)</f>
        <v>627.2</v>
      </c>
    </row>
    <row r="53" customFormat="false" ht="15" hidden="false" customHeight="false" outlineLevel="0" collapsed="false">
      <c r="A53" s="16" t="n">
        <v>45990</v>
      </c>
      <c r="B53" s="4" t="s">
        <v>232</v>
      </c>
      <c r="C53" s="4" t="s">
        <v>27</v>
      </c>
      <c r="D53" s="4" t="s">
        <v>68</v>
      </c>
      <c r="E53" s="4" t="n">
        <f aca="false">E52+1</f>
        <v>51</v>
      </c>
      <c r="F53" s="5" t="n">
        <v>27.71</v>
      </c>
      <c r="G53" s="6" t="n">
        <v>610</v>
      </c>
      <c r="H53" s="6" t="n">
        <v>645</v>
      </c>
      <c r="I53" s="6" t="n">
        <v>0</v>
      </c>
      <c r="J53" s="6" t="n">
        <v>20</v>
      </c>
      <c r="K53" s="6" t="n">
        <f aca="false">IF($F53="","",$F53*$H53)</f>
        <v>17872.95</v>
      </c>
      <c r="L53" s="6" t="n">
        <f aca="false">IFERROR(ROUND($F53*$G53,-1),"")</f>
        <v>16900</v>
      </c>
      <c r="M53" s="4"/>
      <c r="N53" s="5" t="n">
        <f aca="false">IF($F53="","",IF(N($I53)&gt;0,$F53,0))</f>
        <v>0</v>
      </c>
      <c r="O53" s="6" t="n">
        <f aca="false">IF($F53="","",N($N53)*N($I53))</f>
        <v>0</v>
      </c>
      <c r="P53" s="6" t="str">
        <f aca="false">IF(OR($C53=P$1,$C53="Titan Rocks"),$K53,"")</f>
        <v/>
      </c>
      <c r="Q53" s="6" t="str">
        <f aca="false">IF($C53=Q$1,$K53,"")</f>
        <v/>
      </c>
      <c r="R53" s="5" t="str">
        <f aca="false">IF($C53=Q$1,$F53,"")</f>
        <v/>
      </c>
      <c r="S53" s="6" t="str">
        <f aca="false">IF($C53=S$1,$K53,"")</f>
        <v/>
      </c>
      <c r="T53" s="5" t="str">
        <f aca="false">IF($C53=S$1,$F53,"")</f>
        <v/>
      </c>
      <c r="U53" s="6" t="str">
        <f aca="false">IF($C53=U$1,$K53,"")</f>
        <v/>
      </c>
      <c r="V53" s="5" t="str">
        <f aca="false">IF($C53=U$1,$F53,"")</f>
        <v/>
      </c>
      <c r="W53" s="6" t="str">
        <f aca="false">IF($C53=W$1,$K53,"")</f>
        <v/>
      </c>
      <c r="X53" s="5" t="str">
        <f aca="false">IF($C53=W$1,$F53,"")</f>
        <v/>
      </c>
      <c r="Y53" s="6" t="str">
        <f aca="false">IF($C53=Y$1,$K53,"")</f>
        <v/>
      </c>
      <c r="Z53" s="5" t="str">
        <f aca="false">IF($C53=Y$1,$F53,"")</f>
        <v/>
      </c>
      <c r="AA53" s="6" t="str">
        <f aca="false">IF($C53=AA$1,$K53,"")</f>
        <v/>
      </c>
      <c r="AB53" s="5" t="str">
        <f aca="false">IF($C53=AA$1,$F53,"")</f>
        <v/>
      </c>
      <c r="AC53" s="6" t="str">
        <f aca="false">IF($C53=AC$1,$K53,"")</f>
        <v/>
      </c>
      <c r="AD53" s="5" t="str">
        <f aca="false">IF($C53=AC$1,$F53,"")</f>
        <v/>
      </c>
      <c r="AE53" s="6" t="str">
        <f aca="false">IF($C53=AE$1,$K53,"")</f>
        <v/>
      </c>
      <c r="AF53" s="5" t="str">
        <f aca="false">IF($C53=AE$1,$F53,"")</f>
        <v/>
      </c>
      <c r="AG53" s="6" t="str">
        <f aca="false">IF($C53=AG$1,$K53,"")</f>
        <v/>
      </c>
      <c r="AH53" s="5" t="str">
        <f aca="false">IF($C53=AG$1,$F53,"")</f>
        <v/>
      </c>
      <c r="AI53" s="6" t="str">
        <f aca="false">IF($C53=AI$1,$K53,"")</f>
        <v/>
      </c>
      <c r="AJ53" s="5" t="str">
        <f aca="false">IF($C53=AI$1,$F53,"")</f>
        <v/>
      </c>
      <c r="AK53" s="6" t="str">
        <f aca="false">IF($C53=AK$1,$K53,"")</f>
        <v/>
      </c>
      <c r="AL53" s="5" t="str">
        <f aca="false">IF($C53=AK$1,$F53,"")</f>
        <v/>
      </c>
      <c r="AM53" s="6" t="str">
        <f aca="false">IF($C53=AM$1,$K53,"")</f>
        <v/>
      </c>
      <c r="AN53" s="5" t="str">
        <f aca="false">IF($C53=AM$1,$F53,"")</f>
        <v/>
      </c>
      <c r="AO53" s="6" t="n">
        <f aca="false">IF($C53=AO$1,$K53,"")</f>
        <v>17872.95</v>
      </c>
      <c r="AP53" s="5" t="n">
        <f aca="false">IF($C53=AO$1,$F53,"")</f>
        <v>27.71</v>
      </c>
      <c r="AQ53" s="5" t="n">
        <f aca="false">IF($F53="",0,IF($D53=AQ$1,$F53,0))</f>
        <v>0</v>
      </c>
      <c r="AR53" s="6" t="n">
        <f aca="false">IF($D53=AQ$1,N($K53)-N($L53)-N($O53),0)</f>
        <v>0</v>
      </c>
      <c r="AS53" s="5" t="n">
        <f aca="false">IF($F53="",0,IF($D53=AS$1,$F53,0))</f>
        <v>27.71</v>
      </c>
      <c r="AT53" s="6" t="n">
        <f aca="false">IF($D53=AS$1,N($K53)-N($L53)-N($O53),0)</f>
        <v>972.950000000001</v>
      </c>
      <c r="AU53" s="5" t="n">
        <f aca="false">IF(N($J53)&gt;0,N($F53),0)</f>
        <v>27.71</v>
      </c>
      <c r="AV53" s="6" t="n">
        <f aca="false">IF(N($J53)&gt;0,$F53*$J53,0)</f>
        <v>554.2</v>
      </c>
    </row>
    <row r="54" customFormat="false" ht="15" hidden="false" customHeight="false" outlineLevel="0" collapsed="false">
      <c r="A54" s="16" t="n">
        <v>45990</v>
      </c>
      <c r="B54" s="4" t="s">
        <v>232</v>
      </c>
      <c r="C54" s="4" t="s">
        <v>27</v>
      </c>
      <c r="D54" s="4" t="s">
        <v>68</v>
      </c>
      <c r="E54" s="4" t="n">
        <f aca="false">E53+1</f>
        <v>52</v>
      </c>
      <c r="F54" s="5" t="n">
        <v>31.75</v>
      </c>
      <c r="G54" s="6" t="n">
        <v>610</v>
      </c>
      <c r="H54" s="6" t="n">
        <v>645</v>
      </c>
      <c r="I54" s="6" t="n">
        <v>0</v>
      </c>
      <c r="J54" s="6" t="n">
        <v>20</v>
      </c>
      <c r="K54" s="6" t="n">
        <f aca="false">IF($F54="","",$F54*$H54)</f>
        <v>20478.75</v>
      </c>
      <c r="L54" s="6" t="n">
        <f aca="false">IFERROR(ROUND($F54*$G54,-1),"")</f>
        <v>19370</v>
      </c>
      <c r="M54" s="4"/>
      <c r="N54" s="5" t="n">
        <f aca="false">IF($F54="","",IF(N($I54)&gt;0,$F54,0))</f>
        <v>0</v>
      </c>
      <c r="O54" s="6" t="n">
        <f aca="false">IF($F54="","",N($N54)*N($I54))</f>
        <v>0</v>
      </c>
      <c r="P54" s="6" t="str">
        <f aca="false">IF(OR($C54=P$1,$C54="Titan Rocks"),$K54,"")</f>
        <v/>
      </c>
      <c r="Q54" s="6" t="str">
        <f aca="false">IF($C54=Q$1,$K54,"")</f>
        <v/>
      </c>
      <c r="R54" s="5" t="str">
        <f aca="false">IF($C54=Q$1,$F54,"")</f>
        <v/>
      </c>
      <c r="S54" s="6" t="str">
        <f aca="false">IF($C54=S$1,$K54,"")</f>
        <v/>
      </c>
      <c r="T54" s="5" t="str">
        <f aca="false">IF($C54=S$1,$F54,"")</f>
        <v/>
      </c>
      <c r="U54" s="6" t="str">
        <f aca="false">IF($C54=U$1,$K54,"")</f>
        <v/>
      </c>
      <c r="V54" s="5" t="str">
        <f aca="false">IF($C54=U$1,$F54,"")</f>
        <v/>
      </c>
      <c r="W54" s="6" t="str">
        <f aca="false">IF($C54=W$1,$K54,"")</f>
        <v/>
      </c>
      <c r="X54" s="5" t="str">
        <f aca="false">IF($C54=W$1,$F54,"")</f>
        <v/>
      </c>
      <c r="Y54" s="6" t="str">
        <f aca="false">IF($C54=Y$1,$K54,"")</f>
        <v/>
      </c>
      <c r="Z54" s="5" t="str">
        <f aca="false">IF($C54=Y$1,$F54,"")</f>
        <v/>
      </c>
      <c r="AA54" s="6" t="str">
        <f aca="false">IF($C54=AA$1,$K54,"")</f>
        <v/>
      </c>
      <c r="AB54" s="5" t="str">
        <f aca="false">IF($C54=AA$1,$F54,"")</f>
        <v/>
      </c>
      <c r="AC54" s="6" t="str">
        <f aca="false">IF($C54=AC$1,$K54,"")</f>
        <v/>
      </c>
      <c r="AD54" s="5" t="str">
        <f aca="false">IF($C54=AC$1,$F54,"")</f>
        <v/>
      </c>
      <c r="AE54" s="6" t="str">
        <f aca="false">IF($C54=AE$1,$K54,"")</f>
        <v/>
      </c>
      <c r="AF54" s="5" t="str">
        <f aca="false">IF($C54=AE$1,$F54,"")</f>
        <v/>
      </c>
      <c r="AG54" s="6" t="str">
        <f aca="false">IF($C54=AG$1,$K54,"")</f>
        <v/>
      </c>
      <c r="AH54" s="5" t="str">
        <f aca="false">IF($C54=AG$1,$F54,"")</f>
        <v/>
      </c>
      <c r="AI54" s="6" t="str">
        <f aca="false">IF($C54=AI$1,$K54,"")</f>
        <v/>
      </c>
      <c r="AJ54" s="5" t="str">
        <f aca="false">IF($C54=AI$1,$F54,"")</f>
        <v/>
      </c>
      <c r="AK54" s="6" t="str">
        <f aca="false">IF($C54=AK$1,$K54,"")</f>
        <v/>
      </c>
      <c r="AL54" s="5" t="str">
        <f aca="false">IF($C54=AK$1,$F54,"")</f>
        <v/>
      </c>
      <c r="AM54" s="6" t="str">
        <f aca="false">IF($C54=AM$1,$K54,"")</f>
        <v/>
      </c>
      <c r="AN54" s="5" t="str">
        <f aca="false">IF($C54=AM$1,$F54,"")</f>
        <v/>
      </c>
      <c r="AO54" s="6" t="n">
        <f aca="false">IF($C54=AO$1,$K54,"")</f>
        <v>20478.75</v>
      </c>
      <c r="AP54" s="5" t="n">
        <f aca="false">IF($C54=AO$1,$F54,"")</f>
        <v>31.75</v>
      </c>
      <c r="AQ54" s="5" t="n">
        <f aca="false">IF($F54="",0,IF($D54=AQ$1,$F54,0))</f>
        <v>0</v>
      </c>
      <c r="AR54" s="6" t="n">
        <f aca="false">IF($D54=AQ$1,N($K54)-N($L54)-N($O54),0)</f>
        <v>0</v>
      </c>
      <c r="AS54" s="5" t="n">
        <f aca="false">IF($F54="",0,IF($D54=AS$1,$F54,0))</f>
        <v>31.75</v>
      </c>
      <c r="AT54" s="6" t="n">
        <f aca="false">IF($D54=AS$1,N($K54)-N($L54)-N($O54),0)</f>
        <v>1108.75</v>
      </c>
      <c r="AU54" s="5" t="n">
        <f aca="false">IF(N($J54)&gt;0,N($F54),0)</f>
        <v>31.75</v>
      </c>
      <c r="AV54" s="6" t="n">
        <f aca="false">IF(N($J54)&gt;0,$F54*$J54,0)</f>
        <v>635</v>
      </c>
    </row>
    <row r="55" customFormat="false" ht="15" hidden="false" customHeight="false" outlineLevel="0" collapsed="false">
      <c r="A55" s="16" t="n">
        <v>45990</v>
      </c>
      <c r="B55" s="4" t="s">
        <v>232</v>
      </c>
      <c r="C55" s="4" t="s">
        <v>27</v>
      </c>
      <c r="D55" s="4" t="s">
        <v>68</v>
      </c>
      <c r="E55" s="4" t="n">
        <f aca="false">E54+1</f>
        <v>53</v>
      </c>
      <c r="F55" s="5" t="n">
        <v>31.66</v>
      </c>
      <c r="G55" s="6" t="n">
        <v>610</v>
      </c>
      <c r="H55" s="6" t="n">
        <v>645</v>
      </c>
      <c r="I55" s="6" t="n">
        <v>0</v>
      </c>
      <c r="J55" s="6" t="n">
        <v>20</v>
      </c>
      <c r="K55" s="6" t="n">
        <f aca="false">IF($F55="","",$F55*$H55)</f>
        <v>20420.7</v>
      </c>
      <c r="L55" s="6" t="n">
        <f aca="false">IFERROR(ROUND($F55*$G55,-1),"")</f>
        <v>19310</v>
      </c>
      <c r="M55" s="4"/>
      <c r="N55" s="5" t="n">
        <f aca="false">IF($F55="","",IF(N($I55)&gt;0,$F55,0))</f>
        <v>0</v>
      </c>
      <c r="O55" s="6" t="n">
        <f aca="false">IF($F55="","",N($N55)*N($I55))</f>
        <v>0</v>
      </c>
      <c r="P55" s="6" t="str">
        <f aca="false">IF(OR($C55=P$1,$C55="Titan Rocks"),$K55,"")</f>
        <v/>
      </c>
      <c r="Q55" s="6" t="str">
        <f aca="false">IF($C55=Q$1,$K55,"")</f>
        <v/>
      </c>
      <c r="R55" s="5" t="str">
        <f aca="false">IF($C55=Q$1,$F55,"")</f>
        <v/>
      </c>
      <c r="S55" s="6" t="str">
        <f aca="false">IF($C55=S$1,$K55,"")</f>
        <v/>
      </c>
      <c r="T55" s="5" t="str">
        <f aca="false">IF($C55=S$1,$F55,"")</f>
        <v/>
      </c>
      <c r="U55" s="6" t="str">
        <f aca="false">IF($C55=U$1,$K55,"")</f>
        <v/>
      </c>
      <c r="V55" s="5" t="str">
        <f aca="false">IF($C55=U$1,$F55,"")</f>
        <v/>
      </c>
      <c r="W55" s="6" t="str">
        <f aca="false">IF($C55=W$1,$K55,"")</f>
        <v/>
      </c>
      <c r="X55" s="5" t="str">
        <f aca="false">IF($C55=W$1,$F55,"")</f>
        <v/>
      </c>
      <c r="Y55" s="6" t="str">
        <f aca="false">IF($C55=Y$1,$K55,"")</f>
        <v/>
      </c>
      <c r="Z55" s="5" t="str">
        <f aca="false">IF($C55=Y$1,$F55,"")</f>
        <v/>
      </c>
      <c r="AA55" s="6" t="str">
        <f aca="false">IF($C55=AA$1,$K55,"")</f>
        <v/>
      </c>
      <c r="AB55" s="5" t="str">
        <f aca="false">IF($C55=AA$1,$F55,"")</f>
        <v/>
      </c>
      <c r="AC55" s="6" t="str">
        <f aca="false">IF($C55=AC$1,$K55,"")</f>
        <v/>
      </c>
      <c r="AD55" s="5" t="str">
        <f aca="false">IF($C55=AC$1,$F55,"")</f>
        <v/>
      </c>
      <c r="AE55" s="6" t="str">
        <f aca="false">IF($C55=AE$1,$K55,"")</f>
        <v/>
      </c>
      <c r="AF55" s="5" t="str">
        <f aca="false">IF($C55=AE$1,$F55,"")</f>
        <v/>
      </c>
      <c r="AG55" s="6" t="str">
        <f aca="false">IF($C55=AG$1,$K55,"")</f>
        <v/>
      </c>
      <c r="AH55" s="5" t="str">
        <f aca="false">IF($C55=AG$1,$F55,"")</f>
        <v/>
      </c>
      <c r="AI55" s="6" t="str">
        <f aca="false">IF($C55=AI$1,$K55,"")</f>
        <v/>
      </c>
      <c r="AJ55" s="5" t="str">
        <f aca="false">IF($C55=AI$1,$F55,"")</f>
        <v/>
      </c>
      <c r="AK55" s="6" t="str">
        <f aca="false">IF($C55=AK$1,$K55,"")</f>
        <v/>
      </c>
      <c r="AL55" s="5" t="str">
        <f aca="false">IF($C55=AK$1,$F55,"")</f>
        <v/>
      </c>
      <c r="AM55" s="6" t="str">
        <f aca="false">IF($C55=AM$1,$K55,"")</f>
        <v/>
      </c>
      <c r="AN55" s="5" t="str">
        <f aca="false">IF($C55=AM$1,$F55,"")</f>
        <v/>
      </c>
      <c r="AO55" s="6" t="n">
        <f aca="false">IF($C55=AO$1,$K55,"")</f>
        <v>20420.7</v>
      </c>
      <c r="AP55" s="5" t="n">
        <f aca="false">IF($C55=AO$1,$F55,"")</f>
        <v>31.66</v>
      </c>
      <c r="AQ55" s="5" t="n">
        <f aca="false">IF($F55="",0,IF($D55=AQ$1,$F55,0))</f>
        <v>0</v>
      </c>
      <c r="AR55" s="6" t="n">
        <f aca="false">IF($D55=AQ$1,N($K55)-N($L55)-N($O55),0)</f>
        <v>0</v>
      </c>
      <c r="AS55" s="5" t="n">
        <f aca="false">IF($F55="",0,IF($D55=AS$1,$F55,0))</f>
        <v>31.66</v>
      </c>
      <c r="AT55" s="6" t="n">
        <f aca="false">IF($D55=AS$1,N($K55)-N($L55)-N($O55),0)</f>
        <v>1110.7</v>
      </c>
      <c r="AU55" s="5" t="n">
        <f aca="false">IF(N($J55)&gt;0,N($F55),0)</f>
        <v>31.66</v>
      </c>
      <c r="AV55" s="6" t="n">
        <f aca="false">IF(N($J55)&gt;0,$F55*$J55,0)</f>
        <v>633.2</v>
      </c>
    </row>
    <row r="56" customFormat="false" ht="15" hidden="false" customHeight="false" outlineLevel="0" collapsed="false">
      <c r="A56" s="16" t="n">
        <v>45990</v>
      </c>
      <c r="B56" s="4" t="s">
        <v>232</v>
      </c>
      <c r="C56" s="4" t="s">
        <v>27</v>
      </c>
      <c r="D56" s="4" t="s">
        <v>68</v>
      </c>
      <c r="E56" s="4" t="n">
        <f aca="false">E55+1</f>
        <v>54</v>
      </c>
      <c r="F56" s="5" t="n">
        <v>32.58</v>
      </c>
      <c r="G56" s="6" t="n">
        <v>610</v>
      </c>
      <c r="H56" s="6" t="n">
        <v>645</v>
      </c>
      <c r="I56" s="6" t="n">
        <v>0</v>
      </c>
      <c r="J56" s="6" t="n">
        <v>20</v>
      </c>
      <c r="K56" s="6" t="n">
        <f aca="false">IF($F56="","",$F56*$H56)</f>
        <v>21014.1</v>
      </c>
      <c r="L56" s="6" t="n">
        <f aca="false">IFERROR(ROUND($F56*$G56,-1),"")</f>
        <v>19870</v>
      </c>
      <c r="M56" s="4"/>
      <c r="N56" s="5" t="n">
        <f aca="false">IF($F56="","",IF(N($I56)&gt;0,$F56,0))</f>
        <v>0</v>
      </c>
      <c r="O56" s="6" t="n">
        <f aca="false">IF($F56="","",N($N56)*N($I56))</f>
        <v>0</v>
      </c>
      <c r="P56" s="6" t="str">
        <f aca="false">IF(OR($C56=P$1,$C56="Titan Rocks"),$K56,"")</f>
        <v/>
      </c>
      <c r="Q56" s="6" t="str">
        <f aca="false">IF($C56=Q$1,$K56,"")</f>
        <v/>
      </c>
      <c r="R56" s="5" t="str">
        <f aca="false">IF($C56=Q$1,$F56,"")</f>
        <v/>
      </c>
      <c r="S56" s="6" t="str">
        <f aca="false">IF($C56=S$1,$K56,"")</f>
        <v/>
      </c>
      <c r="T56" s="5" t="str">
        <f aca="false">IF($C56=S$1,$F56,"")</f>
        <v/>
      </c>
      <c r="U56" s="6" t="str">
        <f aca="false">IF($C56=U$1,$K56,"")</f>
        <v/>
      </c>
      <c r="V56" s="5" t="str">
        <f aca="false">IF($C56=U$1,$F56,"")</f>
        <v/>
      </c>
      <c r="W56" s="6" t="str">
        <f aca="false">IF($C56=W$1,$K56,"")</f>
        <v/>
      </c>
      <c r="X56" s="5" t="str">
        <f aca="false">IF($C56=W$1,$F56,"")</f>
        <v/>
      </c>
      <c r="Y56" s="6" t="str">
        <f aca="false">IF($C56=Y$1,$K56,"")</f>
        <v/>
      </c>
      <c r="Z56" s="5" t="str">
        <f aca="false">IF($C56=Y$1,$F56,"")</f>
        <v/>
      </c>
      <c r="AA56" s="6" t="str">
        <f aca="false">IF($C56=AA$1,$K56,"")</f>
        <v/>
      </c>
      <c r="AB56" s="5" t="str">
        <f aca="false">IF($C56=AA$1,$F56,"")</f>
        <v/>
      </c>
      <c r="AC56" s="6" t="str">
        <f aca="false">IF($C56=AC$1,$K56,"")</f>
        <v/>
      </c>
      <c r="AD56" s="5" t="str">
        <f aca="false">IF($C56=AC$1,$F56,"")</f>
        <v/>
      </c>
      <c r="AE56" s="6" t="str">
        <f aca="false">IF($C56=AE$1,$K56,"")</f>
        <v/>
      </c>
      <c r="AF56" s="5" t="str">
        <f aca="false">IF($C56=AE$1,$F56,"")</f>
        <v/>
      </c>
      <c r="AG56" s="6" t="str">
        <f aca="false">IF($C56=AG$1,$K56,"")</f>
        <v/>
      </c>
      <c r="AH56" s="5" t="str">
        <f aca="false">IF($C56=AG$1,$F56,"")</f>
        <v/>
      </c>
      <c r="AI56" s="6" t="str">
        <f aca="false">IF($C56=AI$1,$K56,"")</f>
        <v/>
      </c>
      <c r="AJ56" s="5" t="str">
        <f aca="false">IF($C56=AI$1,$F56,"")</f>
        <v/>
      </c>
      <c r="AK56" s="6" t="str">
        <f aca="false">IF($C56=AK$1,$K56,"")</f>
        <v/>
      </c>
      <c r="AL56" s="5" t="str">
        <f aca="false">IF($C56=AK$1,$F56,"")</f>
        <v/>
      </c>
      <c r="AM56" s="6" t="str">
        <f aca="false">IF($C56=AM$1,$K56,"")</f>
        <v/>
      </c>
      <c r="AN56" s="5" t="str">
        <f aca="false">IF($C56=AM$1,$F56,"")</f>
        <v/>
      </c>
      <c r="AO56" s="6" t="n">
        <f aca="false">IF($C56=AO$1,$K56,"")</f>
        <v>21014.1</v>
      </c>
      <c r="AP56" s="5" t="n">
        <f aca="false">IF($C56=AO$1,$F56,"")</f>
        <v>32.58</v>
      </c>
      <c r="AQ56" s="5" t="n">
        <f aca="false">IF($F56="",0,IF($D56=AQ$1,$F56,0))</f>
        <v>0</v>
      </c>
      <c r="AR56" s="6" t="n">
        <f aca="false">IF($D56=AQ$1,N($K56)-N($L56)-N($O56),0)</f>
        <v>0</v>
      </c>
      <c r="AS56" s="5" t="n">
        <f aca="false">IF($F56="",0,IF($D56=AS$1,$F56,0))</f>
        <v>32.58</v>
      </c>
      <c r="AT56" s="6" t="n">
        <f aca="false">IF($D56=AS$1,N($K56)-N($L56)-N($O56),0)</f>
        <v>1144.1</v>
      </c>
      <c r="AU56" s="5" t="n">
        <f aca="false">IF(N($J56)&gt;0,N($F56),0)</f>
        <v>32.58</v>
      </c>
      <c r="AV56" s="6" t="n">
        <f aca="false">IF(N($J56)&gt;0,$F56*$J56,0)</f>
        <v>651.6</v>
      </c>
    </row>
    <row r="57" customFormat="false" ht="15" hidden="false" customHeight="false" outlineLevel="0" collapsed="false">
      <c r="A57" s="16" t="n">
        <v>45990</v>
      </c>
      <c r="B57" s="4" t="s">
        <v>232</v>
      </c>
      <c r="C57" s="4" t="s">
        <v>27</v>
      </c>
      <c r="D57" s="4" t="s">
        <v>68</v>
      </c>
      <c r="E57" s="4" t="n">
        <f aca="false">E56+1</f>
        <v>55</v>
      </c>
      <c r="F57" s="5" t="n">
        <v>32.81</v>
      </c>
      <c r="G57" s="6" t="n">
        <v>610</v>
      </c>
      <c r="H57" s="6" t="n">
        <v>645</v>
      </c>
      <c r="I57" s="6" t="n">
        <v>0</v>
      </c>
      <c r="J57" s="6" t="n">
        <v>20</v>
      </c>
      <c r="K57" s="6" t="n">
        <f aca="false">IF($F57="","",$F57*$H57)</f>
        <v>21162.45</v>
      </c>
      <c r="L57" s="6" t="n">
        <f aca="false">IFERROR(ROUND($F57*$G57,-1),"")</f>
        <v>20010</v>
      </c>
      <c r="M57" s="4"/>
      <c r="N57" s="5" t="n">
        <f aca="false">IF($F57="","",IF(N($I57)&gt;0,$F57,0))</f>
        <v>0</v>
      </c>
      <c r="O57" s="6" t="n">
        <f aca="false">IF($F57="","",N($N57)*N($I57))</f>
        <v>0</v>
      </c>
      <c r="P57" s="6" t="str">
        <f aca="false">IF(OR($C57=P$1,$C57="Titan Rocks"),$K57,"")</f>
        <v/>
      </c>
      <c r="Q57" s="6" t="str">
        <f aca="false">IF($C57=Q$1,$K57,"")</f>
        <v/>
      </c>
      <c r="R57" s="5" t="str">
        <f aca="false">IF($C57=Q$1,$F57,"")</f>
        <v/>
      </c>
      <c r="S57" s="6" t="str">
        <f aca="false">IF($C57=S$1,$K57,"")</f>
        <v/>
      </c>
      <c r="T57" s="5" t="str">
        <f aca="false">IF($C57=S$1,$F57,"")</f>
        <v/>
      </c>
      <c r="U57" s="6" t="str">
        <f aca="false">IF($C57=U$1,$K57,"")</f>
        <v/>
      </c>
      <c r="V57" s="5" t="str">
        <f aca="false">IF($C57=U$1,$F57,"")</f>
        <v/>
      </c>
      <c r="W57" s="6" t="str">
        <f aca="false">IF($C57=W$1,$K57,"")</f>
        <v/>
      </c>
      <c r="X57" s="5" t="str">
        <f aca="false">IF($C57=W$1,$F57,"")</f>
        <v/>
      </c>
      <c r="Y57" s="6" t="str">
        <f aca="false">IF($C57=Y$1,$K57,"")</f>
        <v/>
      </c>
      <c r="Z57" s="5" t="str">
        <f aca="false">IF($C57=Y$1,$F57,"")</f>
        <v/>
      </c>
      <c r="AA57" s="6" t="str">
        <f aca="false">IF($C57=AA$1,$K57,"")</f>
        <v/>
      </c>
      <c r="AB57" s="5" t="str">
        <f aca="false">IF($C57=AA$1,$F57,"")</f>
        <v/>
      </c>
      <c r="AC57" s="6" t="str">
        <f aca="false">IF($C57=AC$1,$K57,"")</f>
        <v/>
      </c>
      <c r="AD57" s="5" t="str">
        <f aca="false">IF($C57=AC$1,$F57,"")</f>
        <v/>
      </c>
      <c r="AE57" s="6" t="str">
        <f aca="false">IF($C57=AE$1,$K57,"")</f>
        <v/>
      </c>
      <c r="AF57" s="5" t="str">
        <f aca="false">IF($C57=AE$1,$F57,"")</f>
        <v/>
      </c>
      <c r="AG57" s="6" t="str">
        <f aca="false">IF($C57=AG$1,$K57,"")</f>
        <v/>
      </c>
      <c r="AH57" s="5" t="str">
        <f aca="false">IF($C57=AG$1,$F57,"")</f>
        <v/>
      </c>
      <c r="AI57" s="6" t="str">
        <f aca="false">IF($C57=AI$1,$K57,"")</f>
        <v/>
      </c>
      <c r="AJ57" s="5" t="str">
        <f aca="false">IF($C57=AI$1,$F57,"")</f>
        <v/>
      </c>
      <c r="AK57" s="6" t="str">
        <f aca="false">IF($C57=AK$1,$K57,"")</f>
        <v/>
      </c>
      <c r="AL57" s="5" t="str">
        <f aca="false">IF($C57=AK$1,$F57,"")</f>
        <v/>
      </c>
      <c r="AM57" s="6" t="str">
        <f aca="false">IF($C57=AM$1,$K57,"")</f>
        <v/>
      </c>
      <c r="AN57" s="5" t="str">
        <f aca="false">IF($C57=AM$1,$F57,"")</f>
        <v/>
      </c>
      <c r="AO57" s="6" t="n">
        <f aca="false">IF($C57=AO$1,$K57,"")</f>
        <v>21162.45</v>
      </c>
      <c r="AP57" s="5" t="n">
        <f aca="false">IF($C57=AO$1,$F57,"")</f>
        <v>32.81</v>
      </c>
      <c r="AQ57" s="5" t="n">
        <f aca="false">IF($F57="",0,IF($D57=AQ$1,$F57,0))</f>
        <v>0</v>
      </c>
      <c r="AR57" s="6" t="n">
        <f aca="false">IF($D57=AQ$1,N($K57)-N($L57)-N($O57),0)</f>
        <v>0</v>
      </c>
      <c r="AS57" s="5" t="n">
        <f aca="false">IF($F57="",0,IF($D57=AS$1,$F57,0))</f>
        <v>32.81</v>
      </c>
      <c r="AT57" s="6" t="n">
        <f aca="false">IF($D57=AS$1,N($K57)-N($L57)-N($O57),0)</f>
        <v>1152.45</v>
      </c>
      <c r="AU57" s="5" t="n">
        <f aca="false">IF(N($J57)&gt;0,N($F57),0)</f>
        <v>32.81</v>
      </c>
      <c r="AV57" s="6" t="n">
        <f aca="false">IF(N($J57)&gt;0,$F57*$J57,0)</f>
        <v>656.2</v>
      </c>
    </row>
    <row r="58" customFormat="false" ht="15" hidden="false" customHeight="false" outlineLevel="0" collapsed="false">
      <c r="A58" s="16" t="n">
        <v>45990</v>
      </c>
      <c r="B58" s="4" t="s">
        <v>232</v>
      </c>
      <c r="C58" s="4" t="s">
        <v>15</v>
      </c>
      <c r="D58" s="4" t="s">
        <v>68</v>
      </c>
      <c r="E58" s="4" t="n">
        <f aca="false">E57+1</f>
        <v>56</v>
      </c>
      <c r="F58" s="5" t="n">
        <v>33.5</v>
      </c>
      <c r="G58" s="6" t="n">
        <v>610</v>
      </c>
      <c r="H58" s="6" t="n">
        <v>875</v>
      </c>
      <c r="I58" s="6" t="n">
        <v>220</v>
      </c>
      <c r="J58" s="6" t="n">
        <v>20</v>
      </c>
      <c r="K58" s="6" t="n">
        <f aca="false">IF($F58="","",$F58*$H58)</f>
        <v>29312.5</v>
      </c>
      <c r="L58" s="6" t="n">
        <f aca="false">IFERROR(ROUND($F58*$G58,-1),"")</f>
        <v>20440</v>
      </c>
      <c r="M58" s="4" t="s">
        <v>34</v>
      </c>
      <c r="N58" s="5" t="n">
        <f aca="false">IF($F58="","",IF(N($I58)&gt;0,$F58,0))</f>
        <v>33.5</v>
      </c>
      <c r="O58" s="6" t="n">
        <f aca="false">IF($F58="","",N($N58)*N($I58))</f>
        <v>7370</v>
      </c>
      <c r="P58" s="6" t="str">
        <f aca="false">IF(OR($C58=P$1,$C58="Titan Rocks"),$K58,"")</f>
        <v/>
      </c>
      <c r="Q58" s="6" t="n">
        <f aca="false">IF($C58=Q$1,$K58,"")</f>
        <v>29312.5</v>
      </c>
      <c r="R58" s="5" t="n">
        <f aca="false">IF($C58=Q$1,$F58,"")</f>
        <v>33.5</v>
      </c>
      <c r="S58" s="6" t="str">
        <f aca="false">IF($C58=S$1,$K58,"")</f>
        <v/>
      </c>
      <c r="T58" s="5" t="str">
        <f aca="false">IF($C58=S$1,$F58,"")</f>
        <v/>
      </c>
      <c r="U58" s="6" t="str">
        <f aca="false">IF($C58=U$1,$K58,"")</f>
        <v/>
      </c>
      <c r="V58" s="5" t="str">
        <f aca="false">IF($C58=U$1,$F58,"")</f>
        <v/>
      </c>
      <c r="W58" s="6" t="str">
        <f aca="false">IF($C58=W$1,$K58,"")</f>
        <v/>
      </c>
      <c r="X58" s="5" t="str">
        <f aca="false">IF($C58=W$1,$F58,"")</f>
        <v/>
      </c>
      <c r="Y58" s="6" t="str">
        <f aca="false">IF($C58=Y$1,$K58,"")</f>
        <v/>
      </c>
      <c r="Z58" s="5" t="str">
        <f aca="false">IF($C58=Y$1,$F58,"")</f>
        <v/>
      </c>
      <c r="AA58" s="6" t="str">
        <f aca="false">IF($C58=AA$1,$K58,"")</f>
        <v/>
      </c>
      <c r="AB58" s="5" t="str">
        <f aca="false">IF($C58=AA$1,$F58,"")</f>
        <v/>
      </c>
      <c r="AC58" s="6" t="str">
        <f aca="false">IF($C58=AC$1,$K58,"")</f>
        <v/>
      </c>
      <c r="AD58" s="5" t="str">
        <f aca="false">IF($C58=AC$1,$F58,"")</f>
        <v/>
      </c>
      <c r="AE58" s="6" t="str">
        <f aca="false">IF($C58=AE$1,$K58,"")</f>
        <v/>
      </c>
      <c r="AF58" s="5" t="str">
        <f aca="false">IF($C58=AE$1,$F58,"")</f>
        <v/>
      </c>
      <c r="AG58" s="6" t="str">
        <f aca="false">IF($C58=AG$1,$K58,"")</f>
        <v/>
      </c>
      <c r="AH58" s="5" t="str">
        <f aca="false">IF($C58=AG$1,$F58,"")</f>
        <v/>
      </c>
      <c r="AI58" s="6" t="str">
        <f aca="false">IF($C58=AI$1,$K58,"")</f>
        <v/>
      </c>
      <c r="AJ58" s="5" t="str">
        <f aca="false">IF($C58=AI$1,$F58,"")</f>
        <v/>
      </c>
      <c r="AK58" s="6" t="str">
        <f aca="false">IF($C58=AK$1,$K58,"")</f>
        <v/>
      </c>
      <c r="AL58" s="5" t="str">
        <f aca="false">IF($C58=AK$1,$F58,"")</f>
        <v/>
      </c>
      <c r="AM58" s="6" t="str">
        <f aca="false">IF($C58=AM$1,$K58,"")</f>
        <v/>
      </c>
      <c r="AN58" s="5" t="str">
        <f aca="false">IF($C58=AM$1,$F58,"")</f>
        <v/>
      </c>
      <c r="AO58" s="6" t="str">
        <f aca="false">IF($C58=AO$1,$K58,"")</f>
        <v/>
      </c>
      <c r="AP58" s="5" t="str">
        <f aca="false">IF($C58=AO$1,$F58,"")</f>
        <v/>
      </c>
      <c r="AQ58" s="5" t="n">
        <f aca="false">IF($F58="",0,IF($D58=AQ$1,$F58,0))</f>
        <v>0</v>
      </c>
      <c r="AR58" s="6" t="n">
        <f aca="false">IF($D58=AQ$1,N($K58)-N($L58)-N($O58),0)</f>
        <v>0</v>
      </c>
      <c r="AS58" s="5" t="n">
        <f aca="false">IF($F58="",0,IF($D58=AS$1,$F58,0))</f>
        <v>33.5</v>
      </c>
      <c r="AT58" s="6" t="n">
        <f aca="false">IF($D58=AS$1,N($K58)-N($L58)-N($O58),0)</f>
        <v>1502.5</v>
      </c>
      <c r="AU58" s="5" t="n">
        <f aca="false">IF(N($J58)&gt;0,N($F58),0)</f>
        <v>33.5</v>
      </c>
      <c r="AV58" s="6" t="n">
        <f aca="false">IF(N($J58)&gt;0,$F58*$J58,0)</f>
        <v>670</v>
      </c>
    </row>
    <row r="59" customFormat="false" ht="15" hidden="false" customHeight="false" outlineLevel="0" collapsed="false">
      <c r="A59" s="16" t="n">
        <v>45990</v>
      </c>
      <c r="B59" s="4" t="s">
        <v>232</v>
      </c>
      <c r="C59" s="4" t="s">
        <v>15</v>
      </c>
      <c r="D59" s="4" t="s">
        <v>68</v>
      </c>
      <c r="E59" s="4" t="n">
        <f aca="false">E58+1</f>
        <v>57</v>
      </c>
      <c r="F59" s="5" t="n">
        <v>32.65</v>
      </c>
      <c r="G59" s="6" t="n">
        <v>610</v>
      </c>
      <c r="H59" s="6" t="n">
        <v>875</v>
      </c>
      <c r="I59" s="6" t="n">
        <v>220</v>
      </c>
      <c r="J59" s="6" t="n">
        <v>20</v>
      </c>
      <c r="K59" s="6" t="n">
        <f aca="false">IF($F59="","",$F59*$H59)</f>
        <v>28568.75</v>
      </c>
      <c r="L59" s="6" t="n">
        <f aca="false">IFERROR(ROUND($F59*$G59,-1),"")</f>
        <v>19920</v>
      </c>
      <c r="M59" s="4" t="s">
        <v>35</v>
      </c>
      <c r="N59" s="5" t="n">
        <f aca="false">IF($F59="","",IF(N($I59)&gt;0,$F59,0))</f>
        <v>32.65</v>
      </c>
      <c r="O59" s="6" t="n">
        <f aca="false">IF($F59="","",N($N59)*N($I59))</f>
        <v>7183</v>
      </c>
      <c r="P59" s="6" t="str">
        <f aca="false">IF(OR($C59=P$1,$C59="Titan Rocks"),$K59,"")</f>
        <v/>
      </c>
      <c r="Q59" s="6" t="n">
        <f aca="false">IF($C59=Q$1,$K59,"")</f>
        <v>28568.75</v>
      </c>
      <c r="R59" s="5" t="n">
        <f aca="false">IF($C59=Q$1,$F59,"")</f>
        <v>32.65</v>
      </c>
      <c r="S59" s="6" t="str">
        <f aca="false">IF($C59=S$1,$K59,"")</f>
        <v/>
      </c>
      <c r="T59" s="5" t="str">
        <f aca="false">IF($C59=S$1,$F59,"")</f>
        <v/>
      </c>
      <c r="U59" s="6" t="str">
        <f aca="false">IF($C59=U$1,$K59,"")</f>
        <v/>
      </c>
      <c r="V59" s="5" t="str">
        <f aca="false">IF($C59=U$1,$F59,"")</f>
        <v/>
      </c>
      <c r="W59" s="6" t="str">
        <f aca="false">IF($C59=W$1,$K59,"")</f>
        <v/>
      </c>
      <c r="X59" s="5" t="str">
        <f aca="false">IF($C59=W$1,$F59,"")</f>
        <v/>
      </c>
      <c r="Y59" s="6" t="str">
        <f aca="false">IF($C59=Y$1,$K59,"")</f>
        <v/>
      </c>
      <c r="Z59" s="5" t="str">
        <f aca="false">IF($C59=Y$1,$F59,"")</f>
        <v/>
      </c>
      <c r="AA59" s="6" t="str">
        <f aca="false">IF($C59=AA$1,$K59,"")</f>
        <v/>
      </c>
      <c r="AB59" s="5" t="str">
        <f aca="false">IF($C59=AA$1,$F59,"")</f>
        <v/>
      </c>
      <c r="AC59" s="6" t="str">
        <f aca="false">IF($C59=AC$1,$K59,"")</f>
        <v/>
      </c>
      <c r="AD59" s="5" t="str">
        <f aca="false">IF($C59=AC$1,$F59,"")</f>
        <v/>
      </c>
      <c r="AE59" s="6" t="str">
        <f aca="false">IF($C59=AE$1,$K59,"")</f>
        <v/>
      </c>
      <c r="AF59" s="5" t="str">
        <f aca="false">IF($C59=AE$1,$F59,"")</f>
        <v/>
      </c>
      <c r="AG59" s="6" t="str">
        <f aca="false">IF($C59=AG$1,$K59,"")</f>
        <v/>
      </c>
      <c r="AH59" s="5" t="str">
        <f aca="false">IF($C59=AG$1,$F59,"")</f>
        <v/>
      </c>
      <c r="AI59" s="6" t="str">
        <f aca="false">IF($C59=AI$1,$K59,"")</f>
        <v/>
      </c>
      <c r="AJ59" s="5" t="str">
        <f aca="false">IF($C59=AI$1,$F59,"")</f>
        <v/>
      </c>
      <c r="AK59" s="6" t="str">
        <f aca="false">IF($C59=AK$1,$K59,"")</f>
        <v/>
      </c>
      <c r="AL59" s="5" t="str">
        <f aca="false">IF($C59=AK$1,$F59,"")</f>
        <v/>
      </c>
      <c r="AM59" s="6" t="str">
        <f aca="false">IF($C59=AM$1,$K59,"")</f>
        <v/>
      </c>
      <c r="AN59" s="5" t="str">
        <f aca="false">IF($C59=AM$1,$F59,"")</f>
        <v/>
      </c>
      <c r="AO59" s="6" t="str">
        <f aca="false">IF($C59=AO$1,$K59,"")</f>
        <v/>
      </c>
      <c r="AP59" s="5" t="str">
        <f aca="false">IF($C59=AO$1,$F59,"")</f>
        <v/>
      </c>
      <c r="AQ59" s="5" t="n">
        <f aca="false">IF($F59="",0,IF($D59=AQ$1,$F59,0))</f>
        <v>0</v>
      </c>
      <c r="AR59" s="6" t="n">
        <f aca="false">IF($D59=AQ$1,N($K59)-N($L59)-N($O59),0)</f>
        <v>0</v>
      </c>
      <c r="AS59" s="5" t="n">
        <f aca="false">IF($F59="",0,IF($D59=AS$1,$F59,0))</f>
        <v>32.65</v>
      </c>
      <c r="AT59" s="6" t="n">
        <f aca="false">IF($D59=AS$1,N($K59)-N($L59)-N($O59),0)</f>
        <v>1465.75</v>
      </c>
      <c r="AU59" s="5" t="n">
        <f aca="false">IF(N($J59)&gt;0,N($F59),0)</f>
        <v>32.65</v>
      </c>
      <c r="AV59" s="6" t="n">
        <f aca="false">IF(N($J59)&gt;0,$F59*$J59,0)</f>
        <v>653</v>
      </c>
    </row>
    <row r="60" customFormat="false" ht="15" hidden="false" customHeight="false" outlineLevel="0" collapsed="false">
      <c r="A60" s="16" t="n">
        <v>45990</v>
      </c>
      <c r="B60" s="4" t="s">
        <v>232</v>
      </c>
      <c r="C60" s="4" t="s">
        <v>14</v>
      </c>
      <c r="D60" s="4"/>
      <c r="E60" s="4" t="n">
        <f aca="false">E59+1</f>
        <v>58</v>
      </c>
      <c r="F60" s="5" t="n">
        <v>26.92</v>
      </c>
      <c r="G60" s="6" t="n">
        <v>700</v>
      </c>
      <c r="H60" s="6" t="n">
        <v>700</v>
      </c>
      <c r="I60" s="6"/>
      <c r="J60" s="6"/>
      <c r="K60" s="6" t="n">
        <f aca="false">IF($F60="","",$F60*$H60)</f>
        <v>18844</v>
      </c>
      <c r="L60" s="6" t="n">
        <f aca="false">IFERROR(ROUND($F60*$G60,-1),"")</f>
        <v>18840</v>
      </c>
      <c r="M60" s="4"/>
      <c r="N60" s="5" t="n">
        <f aca="false">IF($F60="","",IF(N($I60)&gt;0,$F60,0))</f>
        <v>0</v>
      </c>
      <c r="O60" s="6" t="n">
        <f aca="false">IF($F60="","",N($N60)*N($I60))</f>
        <v>0</v>
      </c>
      <c r="P60" s="6" t="n">
        <f aca="false">IF(OR($C60=P$1,$C60="Titan Rocks"),$K60,"")</f>
        <v>18844</v>
      </c>
      <c r="Q60" s="6" t="str">
        <f aca="false">IF($C60=Q$1,$K60,"")</f>
        <v/>
      </c>
      <c r="R60" s="5" t="str">
        <f aca="false">IF($C60=Q$1,$F60,"")</f>
        <v/>
      </c>
      <c r="S60" s="6" t="str">
        <f aca="false">IF($C60=S$1,$K60,"")</f>
        <v/>
      </c>
      <c r="T60" s="5" t="str">
        <f aca="false">IF($C60=S$1,$F60,"")</f>
        <v/>
      </c>
      <c r="U60" s="6" t="str">
        <f aca="false">IF($C60=U$1,$K60,"")</f>
        <v/>
      </c>
      <c r="V60" s="5" t="str">
        <f aca="false">IF($C60=U$1,$F60,"")</f>
        <v/>
      </c>
      <c r="W60" s="6" t="str">
        <f aca="false">IF($C60=W$1,$K60,"")</f>
        <v/>
      </c>
      <c r="X60" s="5" t="str">
        <f aca="false">IF($C60=W$1,$F60,"")</f>
        <v/>
      </c>
      <c r="Y60" s="6" t="str">
        <f aca="false">IF($C60=Y$1,$K60,"")</f>
        <v/>
      </c>
      <c r="Z60" s="5" t="str">
        <f aca="false">IF($C60=Y$1,$F60,"")</f>
        <v/>
      </c>
      <c r="AA60" s="6" t="str">
        <f aca="false">IF($C60=AA$1,$K60,"")</f>
        <v/>
      </c>
      <c r="AB60" s="5" t="str">
        <f aca="false">IF($C60=AA$1,$F60,"")</f>
        <v/>
      </c>
      <c r="AC60" s="6" t="str">
        <f aca="false">IF($C60=AC$1,$K60,"")</f>
        <v/>
      </c>
      <c r="AD60" s="5" t="str">
        <f aca="false">IF($C60=AC$1,$F60,"")</f>
        <v/>
      </c>
      <c r="AE60" s="6" t="str">
        <f aca="false">IF($C60=AE$1,$K60,"")</f>
        <v/>
      </c>
      <c r="AF60" s="5" t="str">
        <f aca="false">IF($C60=AE$1,$F60,"")</f>
        <v/>
      </c>
      <c r="AG60" s="6" t="str">
        <f aca="false">IF($C60=AG$1,$K60,"")</f>
        <v/>
      </c>
      <c r="AH60" s="5" t="str">
        <f aca="false">IF($C60=AG$1,$F60,"")</f>
        <v/>
      </c>
      <c r="AI60" s="6" t="str">
        <f aca="false">IF($C60=AI$1,$K60,"")</f>
        <v/>
      </c>
      <c r="AJ60" s="5" t="str">
        <f aca="false">IF($C60=AI$1,$F60,"")</f>
        <v/>
      </c>
      <c r="AK60" s="6" t="str">
        <f aca="false">IF($C60=AK$1,$K60,"")</f>
        <v/>
      </c>
      <c r="AL60" s="5" t="str">
        <f aca="false">IF($C60=AK$1,$F60,"")</f>
        <v/>
      </c>
      <c r="AM60" s="6" t="str">
        <f aca="false">IF($C60=AM$1,$K60,"")</f>
        <v/>
      </c>
      <c r="AN60" s="5" t="str">
        <f aca="false">IF($C60=AM$1,$F60,"")</f>
        <v/>
      </c>
      <c r="AO60" s="6" t="str">
        <f aca="false">IF($C60=AO$1,$K60,"")</f>
        <v/>
      </c>
      <c r="AP60" s="5" t="str">
        <f aca="false">IF($C60=AO$1,$F60,"")</f>
        <v/>
      </c>
      <c r="AQ60" s="5" t="n">
        <f aca="false">IF($F60="",0,IF($D60=AQ$1,$F60,0))</f>
        <v>0</v>
      </c>
      <c r="AR60" s="6" t="n">
        <f aca="false">IF($D60=AQ$1,N($K60)-N($L60)-N($O60),0)</f>
        <v>0</v>
      </c>
      <c r="AS60" s="5" t="n">
        <f aca="false">IF($F60="",0,IF($D60=AS$1,$F60,0))</f>
        <v>0</v>
      </c>
      <c r="AT60" s="6" t="n">
        <f aca="false">IF($D60=AS$1,N($K60)-N($L60)-N($O60),0)</f>
        <v>0</v>
      </c>
      <c r="AU60" s="5" t="n">
        <f aca="false">IF(N($J60)&gt;0,N($F60),0)</f>
        <v>0</v>
      </c>
      <c r="AV60" s="6" t="n">
        <f aca="false">IF(N($J60)&gt;0,$F60*$J60,0)</f>
        <v>0</v>
      </c>
    </row>
    <row r="61" customFormat="false" ht="15" hidden="false" customHeight="false" outlineLevel="0" collapsed="false">
      <c r="A61" s="16" t="n">
        <v>46087</v>
      </c>
      <c r="B61" s="4" t="s">
        <v>232</v>
      </c>
      <c r="C61" s="4" t="s">
        <v>16</v>
      </c>
      <c r="D61" s="4" t="s">
        <v>68</v>
      </c>
      <c r="E61" s="4" t="n">
        <f aca="false">E60+1</f>
        <v>59</v>
      </c>
      <c r="F61" s="5" t="n">
        <v>32.82</v>
      </c>
      <c r="G61" s="6" t="n">
        <v>610</v>
      </c>
      <c r="H61" s="6" t="n">
        <v>900</v>
      </c>
      <c r="I61" s="6" t="n">
        <v>250</v>
      </c>
      <c r="J61" s="6" t="n">
        <v>20</v>
      </c>
      <c r="K61" s="6" t="n">
        <f aca="false">IF($F61="","",$F61*$H61)</f>
        <v>29538</v>
      </c>
      <c r="L61" s="6" t="n">
        <f aca="false">IFERROR(ROUND($F61*$G61,-1),"")</f>
        <v>20020</v>
      </c>
      <c r="M61" s="4" t="s">
        <v>36</v>
      </c>
      <c r="N61" s="5" t="n">
        <f aca="false">IF($F61="","",IF(N($I61)&gt;0,$F61,0))</f>
        <v>32.82</v>
      </c>
      <c r="O61" s="6" t="n">
        <f aca="false">IF($F61="","",N($N61)*N($I61))</f>
        <v>8205</v>
      </c>
      <c r="P61" s="6" t="str">
        <f aca="false">IF(OR($C61=P$1,$C61="Titan Rocks"),$K61,"")</f>
        <v/>
      </c>
      <c r="Q61" s="6" t="str">
        <f aca="false">IF($C61=Q$1,$K61,"")</f>
        <v/>
      </c>
      <c r="R61" s="5" t="str">
        <f aca="false">IF($C61=Q$1,$F61,"")</f>
        <v/>
      </c>
      <c r="S61" s="6" t="n">
        <f aca="false">IF($C61=S$1,$K61,"")</f>
        <v>29538</v>
      </c>
      <c r="T61" s="5" t="n">
        <f aca="false">IF($C61=S$1,$F61,"")</f>
        <v>32.82</v>
      </c>
      <c r="U61" s="6" t="str">
        <f aca="false">IF($C61=U$1,$K61,"")</f>
        <v/>
      </c>
      <c r="V61" s="5" t="str">
        <f aca="false">IF($C61=U$1,$F61,"")</f>
        <v/>
      </c>
      <c r="W61" s="6" t="str">
        <f aca="false">IF($C61=W$1,$K61,"")</f>
        <v/>
      </c>
      <c r="X61" s="5" t="str">
        <f aca="false">IF($C61=W$1,$F61,"")</f>
        <v/>
      </c>
      <c r="Y61" s="6" t="str">
        <f aca="false">IF($C61=Y$1,$K61,"")</f>
        <v/>
      </c>
      <c r="Z61" s="5" t="str">
        <f aca="false">IF($C61=Y$1,$F61,"")</f>
        <v/>
      </c>
      <c r="AA61" s="6" t="str">
        <f aca="false">IF($C61=AA$1,$K61,"")</f>
        <v/>
      </c>
      <c r="AB61" s="5" t="str">
        <f aca="false">IF($C61=AA$1,$F61,"")</f>
        <v/>
      </c>
      <c r="AC61" s="6" t="str">
        <f aca="false">IF($C61=AC$1,$K61,"")</f>
        <v/>
      </c>
      <c r="AD61" s="5" t="str">
        <f aca="false">IF($C61=AC$1,$F61,"")</f>
        <v/>
      </c>
      <c r="AE61" s="6" t="str">
        <f aca="false">IF($C61=AE$1,$K61,"")</f>
        <v/>
      </c>
      <c r="AF61" s="5" t="str">
        <f aca="false">IF($C61=AE$1,$F61,"")</f>
        <v/>
      </c>
      <c r="AG61" s="6" t="str">
        <f aca="false">IF($C61=AG$1,$K61,"")</f>
        <v/>
      </c>
      <c r="AH61" s="5" t="str">
        <f aca="false">IF($C61=AG$1,$F61,"")</f>
        <v/>
      </c>
      <c r="AI61" s="6" t="str">
        <f aca="false">IF($C61=AI$1,$K61,"")</f>
        <v/>
      </c>
      <c r="AJ61" s="5" t="str">
        <f aca="false">IF($C61=AI$1,$F61,"")</f>
        <v/>
      </c>
      <c r="AK61" s="6" t="str">
        <f aca="false">IF($C61=AK$1,$K61,"")</f>
        <v/>
      </c>
      <c r="AL61" s="5" t="str">
        <f aca="false">IF($C61=AK$1,$F61,"")</f>
        <v/>
      </c>
      <c r="AM61" s="6" t="str">
        <f aca="false">IF($C61=AM$1,$K61,"")</f>
        <v/>
      </c>
      <c r="AN61" s="5" t="str">
        <f aca="false">IF($C61=AM$1,$F61,"")</f>
        <v/>
      </c>
      <c r="AO61" s="6" t="str">
        <f aca="false">IF($C61=AO$1,$K61,"")</f>
        <v/>
      </c>
      <c r="AP61" s="5" t="str">
        <f aca="false">IF($C61=AO$1,$F61,"")</f>
        <v/>
      </c>
      <c r="AQ61" s="5" t="n">
        <f aca="false">IF($F61="",0,IF($D61=AQ$1,$F61,0))</f>
        <v>0</v>
      </c>
      <c r="AR61" s="6" t="n">
        <f aca="false">IF($D61=AQ$1,N($K61)-N($L61)-N($O61),0)</f>
        <v>0</v>
      </c>
      <c r="AS61" s="5" t="n">
        <f aca="false">IF($F61="",0,IF($D61=AS$1,$F61,0))</f>
        <v>32.82</v>
      </c>
      <c r="AT61" s="6" t="n">
        <f aca="false">IF($D61=AS$1,N($K61)-N($L61)-N($O61),0)</f>
        <v>1313</v>
      </c>
      <c r="AU61" s="5" t="n">
        <f aca="false">IF(N($J61)&gt;0,N($F61),0)</f>
        <v>32.82</v>
      </c>
      <c r="AV61" s="6" t="n">
        <f aca="false">IF(N($J61)&gt;0,$F61*$J61,0)</f>
        <v>656.4</v>
      </c>
    </row>
    <row r="62" customFormat="false" ht="15" hidden="false" customHeight="false" outlineLevel="0" collapsed="false">
      <c r="A62" s="16" t="n">
        <v>46087</v>
      </c>
      <c r="B62" s="4" t="s">
        <v>232</v>
      </c>
      <c r="C62" s="4" t="s">
        <v>27</v>
      </c>
      <c r="D62" s="4" t="s">
        <v>67</v>
      </c>
      <c r="E62" s="4" t="n">
        <f aca="false">E61+1</f>
        <v>60</v>
      </c>
      <c r="F62" s="5" t="n">
        <v>29.74</v>
      </c>
      <c r="G62" s="6" t="n">
        <v>640</v>
      </c>
      <c r="H62" s="6" t="n">
        <v>645</v>
      </c>
      <c r="I62" s="6" t="n">
        <v>0</v>
      </c>
      <c r="J62" s="6" t="n">
        <v>20</v>
      </c>
      <c r="K62" s="6" t="n">
        <f aca="false">IF($F62="","",$F62*$H62)</f>
        <v>19182.3</v>
      </c>
      <c r="L62" s="6" t="n">
        <f aca="false">IFERROR(ROUND($F62*$G62,-1),"")</f>
        <v>19030</v>
      </c>
      <c r="M62" s="4"/>
      <c r="N62" s="5" t="n">
        <f aca="false">IF($F62="","",IF(N($I62)&gt;0,$F62,0))</f>
        <v>0</v>
      </c>
      <c r="O62" s="6" t="n">
        <f aca="false">IF($F62="","",N($N62)*N($I62))</f>
        <v>0</v>
      </c>
      <c r="P62" s="6" t="str">
        <f aca="false">IF(OR($C62=P$1,$C62="Titan Rocks"),$K62,"")</f>
        <v/>
      </c>
      <c r="Q62" s="6" t="str">
        <f aca="false">IF($C62=Q$1,$K62,"")</f>
        <v/>
      </c>
      <c r="R62" s="5" t="str">
        <f aca="false">IF($C62=Q$1,$F62,"")</f>
        <v/>
      </c>
      <c r="S62" s="6" t="str">
        <f aca="false">IF($C62=S$1,$K62,"")</f>
        <v/>
      </c>
      <c r="T62" s="5" t="str">
        <f aca="false">IF($C62=S$1,$F62,"")</f>
        <v/>
      </c>
      <c r="U62" s="6" t="str">
        <f aca="false">IF($C62=U$1,$K62,"")</f>
        <v/>
      </c>
      <c r="V62" s="5" t="str">
        <f aca="false">IF($C62=U$1,$F62,"")</f>
        <v/>
      </c>
      <c r="W62" s="6" t="str">
        <f aca="false">IF($C62=W$1,$K62,"")</f>
        <v/>
      </c>
      <c r="X62" s="5" t="str">
        <f aca="false">IF($C62=W$1,$F62,"")</f>
        <v/>
      </c>
      <c r="Y62" s="6" t="str">
        <f aca="false">IF($C62=Y$1,$K62,"")</f>
        <v/>
      </c>
      <c r="Z62" s="5" t="str">
        <f aca="false">IF($C62=Y$1,$F62,"")</f>
        <v/>
      </c>
      <c r="AA62" s="6" t="str">
        <f aca="false">IF($C62=AA$1,$K62,"")</f>
        <v/>
      </c>
      <c r="AB62" s="5" t="str">
        <f aca="false">IF($C62=AA$1,$F62,"")</f>
        <v/>
      </c>
      <c r="AC62" s="6" t="str">
        <f aca="false">IF($C62=AC$1,$K62,"")</f>
        <v/>
      </c>
      <c r="AD62" s="5" t="str">
        <f aca="false">IF($C62=AC$1,$F62,"")</f>
        <v/>
      </c>
      <c r="AE62" s="6" t="str">
        <f aca="false">IF($C62=AE$1,$K62,"")</f>
        <v/>
      </c>
      <c r="AF62" s="5" t="str">
        <f aca="false">IF($C62=AE$1,$F62,"")</f>
        <v/>
      </c>
      <c r="AG62" s="6" t="str">
        <f aca="false">IF($C62=AG$1,$K62,"")</f>
        <v/>
      </c>
      <c r="AH62" s="5" t="str">
        <f aca="false">IF($C62=AG$1,$F62,"")</f>
        <v/>
      </c>
      <c r="AI62" s="6" t="str">
        <f aca="false">IF($C62=AI$1,$K62,"")</f>
        <v/>
      </c>
      <c r="AJ62" s="5" t="str">
        <f aca="false">IF($C62=AI$1,$F62,"")</f>
        <v/>
      </c>
      <c r="AK62" s="6" t="str">
        <f aca="false">IF($C62=AK$1,$K62,"")</f>
        <v/>
      </c>
      <c r="AL62" s="5" t="str">
        <f aca="false">IF($C62=AK$1,$F62,"")</f>
        <v/>
      </c>
      <c r="AM62" s="6" t="str">
        <f aca="false">IF($C62=AM$1,$K62,"")</f>
        <v/>
      </c>
      <c r="AN62" s="5" t="str">
        <f aca="false">IF($C62=AM$1,$F62,"")</f>
        <v/>
      </c>
      <c r="AO62" s="6" t="n">
        <f aca="false">IF($C62=AO$1,$K62,"")</f>
        <v>19182.3</v>
      </c>
      <c r="AP62" s="5" t="n">
        <f aca="false">IF($C62=AO$1,$F62,"")</f>
        <v>29.74</v>
      </c>
      <c r="AQ62" s="5" t="n">
        <f aca="false">IF($F62="",0,IF($D62=AQ$1,$F62,0))</f>
        <v>29.74</v>
      </c>
      <c r="AR62" s="6" t="n">
        <f aca="false">IF($D62=AQ$1,N($K62)-N($L62)-N($O62),0)</f>
        <v>152.299999999999</v>
      </c>
      <c r="AS62" s="5" t="n">
        <f aca="false">IF($F62="",0,IF($D62=AS$1,$F62,0))</f>
        <v>0</v>
      </c>
      <c r="AT62" s="6" t="n">
        <f aca="false">IF($D62=AS$1,N($K62)-N($L62)-N($O62),0)</f>
        <v>0</v>
      </c>
      <c r="AU62" s="5" t="n">
        <f aca="false">IF(N($J62)&gt;0,N($F62),0)</f>
        <v>29.74</v>
      </c>
      <c r="AV62" s="6" t="n">
        <f aca="false">IF(N($J62)&gt;0,$F62*$J62,0)</f>
        <v>594.8</v>
      </c>
    </row>
    <row r="63" customFormat="false" ht="15" hidden="false" customHeight="false" outlineLevel="0" collapsed="false">
      <c r="A63" s="16" t="n">
        <v>46087</v>
      </c>
      <c r="B63" s="4" t="s">
        <v>232</v>
      </c>
      <c r="C63" s="4" t="s">
        <v>27</v>
      </c>
      <c r="D63" s="4" t="s">
        <v>68</v>
      </c>
      <c r="E63" s="4" t="n">
        <f aca="false">E62+1</f>
        <v>61</v>
      </c>
      <c r="F63" s="5" t="n">
        <v>17.43</v>
      </c>
      <c r="G63" s="6" t="n">
        <v>610</v>
      </c>
      <c r="H63" s="6" t="n">
        <v>645</v>
      </c>
      <c r="I63" s="6" t="n">
        <v>0</v>
      </c>
      <c r="J63" s="6" t="n">
        <v>20</v>
      </c>
      <c r="K63" s="6" t="n">
        <f aca="false">IF($F63="","",$F63*$H63)</f>
        <v>11242.35</v>
      </c>
      <c r="L63" s="6" t="n">
        <f aca="false">IFERROR(ROUND($F63*$G63,-1),"")</f>
        <v>10630</v>
      </c>
      <c r="M63" s="4"/>
      <c r="N63" s="5" t="n">
        <f aca="false">IF($F63="","",IF(N($I63)&gt;0,$F63,0))</f>
        <v>0</v>
      </c>
      <c r="O63" s="6" t="n">
        <f aca="false">IF($F63="","",N($N63)*N($I63))</f>
        <v>0</v>
      </c>
      <c r="P63" s="6" t="str">
        <f aca="false">IF(OR($C63=P$1,$C63="Titan Rocks"),$K63,"")</f>
        <v/>
      </c>
      <c r="Q63" s="6" t="str">
        <f aca="false">IF($C63=Q$1,$K63,"")</f>
        <v/>
      </c>
      <c r="R63" s="5" t="str">
        <f aca="false">IF($C63=Q$1,$F63,"")</f>
        <v/>
      </c>
      <c r="S63" s="6" t="str">
        <f aca="false">IF($C63=S$1,$K63,"")</f>
        <v/>
      </c>
      <c r="T63" s="5" t="str">
        <f aca="false">IF($C63=S$1,$F63,"")</f>
        <v/>
      </c>
      <c r="U63" s="6" t="str">
        <f aca="false">IF($C63=U$1,$K63,"")</f>
        <v/>
      </c>
      <c r="V63" s="5" t="str">
        <f aca="false">IF($C63=U$1,$F63,"")</f>
        <v/>
      </c>
      <c r="W63" s="6" t="str">
        <f aca="false">IF($C63=W$1,$K63,"")</f>
        <v/>
      </c>
      <c r="X63" s="5" t="str">
        <f aca="false">IF($C63=W$1,$F63,"")</f>
        <v/>
      </c>
      <c r="Y63" s="6" t="str">
        <f aca="false">IF($C63=Y$1,$K63,"")</f>
        <v/>
      </c>
      <c r="Z63" s="5" t="str">
        <f aca="false">IF($C63=Y$1,$F63,"")</f>
        <v/>
      </c>
      <c r="AA63" s="6" t="str">
        <f aca="false">IF($C63=AA$1,$K63,"")</f>
        <v/>
      </c>
      <c r="AB63" s="5" t="str">
        <f aca="false">IF($C63=AA$1,$F63,"")</f>
        <v/>
      </c>
      <c r="AC63" s="6" t="str">
        <f aca="false">IF($C63=AC$1,$K63,"")</f>
        <v/>
      </c>
      <c r="AD63" s="5" t="str">
        <f aca="false">IF($C63=AC$1,$F63,"")</f>
        <v/>
      </c>
      <c r="AE63" s="6" t="str">
        <f aca="false">IF($C63=AE$1,$K63,"")</f>
        <v/>
      </c>
      <c r="AF63" s="5" t="str">
        <f aca="false">IF($C63=AE$1,$F63,"")</f>
        <v/>
      </c>
      <c r="AG63" s="6" t="str">
        <f aca="false">IF($C63=AG$1,$K63,"")</f>
        <v/>
      </c>
      <c r="AH63" s="5" t="str">
        <f aca="false">IF($C63=AG$1,$F63,"")</f>
        <v/>
      </c>
      <c r="AI63" s="6" t="str">
        <f aca="false">IF($C63=AI$1,$K63,"")</f>
        <v/>
      </c>
      <c r="AJ63" s="5" t="str">
        <f aca="false">IF($C63=AI$1,$F63,"")</f>
        <v/>
      </c>
      <c r="AK63" s="6" t="str">
        <f aca="false">IF($C63=AK$1,$K63,"")</f>
        <v/>
      </c>
      <c r="AL63" s="5" t="str">
        <f aca="false">IF($C63=AK$1,$F63,"")</f>
        <v/>
      </c>
      <c r="AM63" s="6" t="str">
        <f aca="false">IF($C63=AM$1,$K63,"")</f>
        <v/>
      </c>
      <c r="AN63" s="5" t="str">
        <f aca="false">IF($C63=AM$1,$F63,"")</f>
        <v/>
      </c>
      <c r="AO63" s="6" t="n">
        <f aca="false">IF($C63=AO$1,$K63,"")</f>
        <v>11242.35</v>
      </c>
      <c r="AP63" s="5" t="n">
        <f aca="false">IF($C63=AO$1,$F63,"")</f>
        <v>17.43</v>
      </c>
      <c r="AQ63" s="5" t="n">
        <f aca="false">IF($F63="",0,IF($D63=AQ$1,$F63,0))</f>
        <v>0</v>
      </c>
      <c r="AR63" s="6" t="n">
        <f aca="false">IF($D63=AQ$1,N($K63)-N($L63)-N($O63),0)</f>
        <v>0</v>
      </c>
      <c r="AS63" s="5" t="n">
        <f aca="false">IF($F63="",0,IF($D63=AS$1,$F63,0))</f>
        <v>17.43</v>
      </c>
      <c r="AT63" s="6" t="n">
        <f aca="false">IF($D63=AS$1,N($K63)-N($L63)-N($O63),0)</f>
        <v>612.35</v>
      </c>
      <c r="AU63" s="5" t="n">
        <f aca="false">IF(N($J63)&gt;0,N($F63),0)</f>
        <v>17.43</v>
      </c>
      <c r="AV63" s="6" t="n">
        <f aca="false">IF(N($J63)&gt;0,$F63*$J63,0)</f>
        <v>348.6</v>
      </c>
    </row>
    <row r="64" customFormat="false" ht="15" hidden="false" customHeight="false" outlineLevel="0" collapsed="false">
      <c r="A64" s="16" t="n">
        <v>46087</v>
      </c>
      <c r="B64" s="4" t="s">
        <v>232</v>
      </c>
      <c r="C64" s="4" t="s">
        <v>27</v>
      </c>
      <c r="D64" s="4" t="s">
        <v>68</v>
      </c>
      <c r="E64" s="4" t="n">
        <f aca="false">E63+1</f>
        <v>62</v>
      </c>
      <c r="F64" s="5" t="n">
        <v>21.78</v>
      </c>
      <c r="G64" s="6" t="n">
        <v>610</v>
      </c>
      <c r="H64" s="6" t="n">
        <v>645</v>
      </c>
      <c r="I64" s="6" t="n">
        <v>0</v>
      </c>
      <c r="J64" s="6" t="n">
        <v>20</v>
      </c>
      <c r="K64" s="6" t="n">
        <f aca="false">IF($F64="","",$F64*$H64)</f>
        <v>14048.1</v>
      </c>
      <c r="L64" s="6" t="n">
        <f aca="false">IFERROR(ROUND($F64*$G64,-1),"")</f>
        <v>13290</v>
      </c>
      <c r="M64" s="4"/>
      <c r="N64" s="5" t="n">
        <f aca="false">IF($F64="","",IF(N($I64)&gt;0,$F64,0))</f>
        <v>0</v>
      </c>
      <c r="O64" s="6" t="n">
        <f aca="false">IF($F64="","",N($N64)*N($I64))</f>
        <v>0</v>
      </c>
      <c r="P64" s="6" t="str">
        <f aca="false">IF(OR($C64=P$1,$C64="Titan Rocks"),$K64,"")</f>
        <v/>
      </c>
      <c r="Q64" s="6" t="str">
        <f aca="false">IF($C64=Q$1,$K64,"")</f>
        <v/>
      </c>
      <c r="R64" s="5" t="str">
        <f aca="false">IF($C64=Q$1,$F64,"")</f>
        <v/>
      </c>
      <c r="S64" s="6" t="str">
        <f aca="false">IF($C64=S$1,$K64,"")</f>
        <v/>
      </c>
      <c r="T64" s="5" t="str">
        <f aca="false">IF($C64=S$1,$F64,"")</f>
        <v/>
      </c>
      <c r="U64" s="6" t="str">
        <f aca="false">IF($C64=U$1,$K64,"")</f>
        <v/>
      </c>
      <c r="V64" s="5" t="str">
        <f aca="false">IF($C64=U$1,$F64,"")</f>
        <v/>
      </c>
      <c r="W64" s="6" t="str">
        <f aca="false">IF($C64=W$1,$K64,"")</f>
        <v/>
      </c>
      <c r="X64" s="5" t="str">
        <f aca="false">IF($C64=W$1,$F64,"")</f>
        <v/>
      </c>
      <c r="Y64" s="6" t="str">
        <f aca="false">IF($C64=Y$1,$K64,"")</f>
        <v/>
      </c>
      <c r="Z64" s="5" t="str">
        <f aca="false">IF($C64=Y$1,$F64,"")</f>
        <v/>
      </c>
      <c r="AA64" s="6" t="str">
        <f aca="false">IF($C64=AA$1,$K64,"")</f>
        <v/>
      </c>
      <c r="AB64" s="5" t="str">
        <f aca="false">IF($C64=AA$1,$F64,"")</f>
        <v/>
      </c>
      <c r="AC64" s="6" t="str">
        <f aca="false">IF($C64=AC$1,$K64,"")</f>
        <v/>
      </c>
      <c r="AD64" s="5" t="str">
        <f aca="false">IF($C64=AC$1,$F64,"")</f>
        <v/>
      </c>
      <c r="AE64" s="6" t="str">
        <f aca="false">IF($C64=AE$1,$K64,"")</f>
        <v/>
      </c>
      <c r="AF64" s="5" t="str">
        <f aca="false">IF($C64=AE$1,$F64,"")</f>
        <v/>
      </c>
      <c r="AG64" s="6" t="str">
        <f aca="false">IF($C64=AG$1,$K64,"")</f>
        <v/>
      </c>
      <c r="AH64" s="5" t="str">
        <f aca="false">IF($C64=AG$1,$F64,"")</f>
        <v/>
      </c>
      <c r="AI64" s="6" t="str">
        <f aca="false">IF($C64=AI$1,$K64,"")</f>
        <v/>
      </c>
      <c r="AJ64" s="5" t="str">
        <f aca="false">IF($C64=AI$1,$F64,"")</f>
        <v/>
      </c>
      <c r="AK64" s="6" t="str">
        <f aca="false">IF($C64=AK$1,$K64,"")</f>
        <v/>
      </c>
      <c r="AL64" s="5" t="str">
        <f aca="false">IF($C64=AK$1,$F64,"")</f>
        <v/>
      </c>
      <c r="AM64" s="6" t="str">
        <f aca="false">IF($C64=AM$1,$K64,"")</f>
        <v/>
      </c>
      <c r="AN64" s="5" t="str">
        <f aca="false">IF($C64=AM$1,$F64,"")</f>
        <v/>
      </c>
      <c r="AO64" s="6" t="n">
        <f aca="false">IF($C64=AO$1,$K64,"")</f>
        <v>14048.1</v>
      </c>
      <c r="AP64" s="5" t="n">
        <f aca="false">IF($C64=AO$1,$F64,"")</f>
        <v>21.78</v>
      </c>
      <c r="AQ64" s="5" t="n">
        <f aca="false">IF($F64="",0,IF($D64=AQ$1,$F64,0))</f>
        <v>0</v>
      </c>
      <c r="AR64" s="6" t="n">
        <f aca="false">IF($D64=AQ$1,N($K64)-N($L64)-N($O64),0)</f>
        <v>0</v>
      </c>
      <c r="AS64" s="5" t="n">
        <f aca="false">IF($F64="",0,IF($D64=AS$1,$F64,0))</f>
        <v>21.78</v>
      </c>
      <c r="AT64" s="6" t="n">
        <f aca="false">IF($D64=AS$1,N($K64)-N($L64)-N($O64),0)</f>
        <v>758.1</v>
      </c>
      <c r="AU64" s="5" t="n">
        <f aca="false">IF(N($J64)&gt;0,N($F64),0)</f>
        <v>21.78</v>
      </c>
      <c r="AV64" s="6" t="n">
        <f aca="false">IF(N($J64)&gt;0,$F64*$J64,0)</f>
        <v>435.6</v>
      </c>
    </row>
    <row r="65" customFormat="false" ht="15" hidden="false" customHeight="false" outlineLevel="0" collapsed="false">
      <c r="A65" s="16" t="n">
        <v>46087</v>
      </c>
      <c r="B65" s="4" t="s">
        <v>232</v>
      </c>
      <c r="C65" s="4" t="s">
        <v>27</v>
      </c>
      <c r="D65" s="4" t="s">
        <v>67</v>
      </c>
      <c r="E65" s="4" t="n">
        <f aca="false">E64+1</f>
        <v>63</v>
      </c>
      <c r="F65" s="5" t="n">
        <v>20.65</v>
      </c>
      <c r="G65" s="6" t="n">
        <v>640</v>
      </c>
      <c r="H65" s="6" t="n">
        <v>645</v>
      </c>
      <c r="I65" s="6" t="n">
        <v>0</v>
      </c>
      <c r="J65" s="6" t="n">
        <v>20</v>
      </c>
      <c r="K65" s="6" t="n">
        <f aca="false">IF($F65="","",$F65*$H65)</f>
        <v>13319.25</v>
      </c>
      <c r="L65" s="6" t="n">
        <f aca="false">IFERROR(ROUND($F65*$G65,-1),"")</f>
        <v>13220</v>
      </c>
      <c r="M65" s="4"/>
      <c r="N65" s="5" t="n">
        <f aca="false">IF($F65="","",IF(N($I65)&gt;0,$F65,0))</f>
        <v>0</v>
      </c>
      <c r="O65" s="6" t="n">
        <f aca="false">IF($F65="","",N($N65)*N($I65))</f>
        <v>0</v>
      </c>
      <c r="P65" s="6" t="str">
        <f aca="false">IF(OR($C65=P$1,$C65="Titan Rocks"),$K65,"")</f>
        <v/>
      </c>
      <c r="Q65" s="6" t="str">
        <f aca="false">IF($C65=Q$1,$K65,"")</f>
        <v/>
      </c>
      <c r="R65" s="5" t="str">
        <f aca="false">IF($C65=Q$1,$F65,"")</f>
        <v/>
      </c>
      <c r="S65" s="6" t="str">
        <f aca="false">IF($C65=S$1,$K65,"")</f>
        <v/>
      </c>
      <c r="T65" s="5" t="str">
        <f aca="false">IF($C65=S$1,$F65,"")</f>
        <v/>
      </c>
      <c r="U65" s="6" t="str">
        <f aca="false">IF($C65=U$1,$K65,"")</f>
        <v/>
      </c>
      <c r="V65" s="5" t="str">
        <f aca="false">IF($C65=U$1,$F65,"")</f>
        <v/>
      </c>
      <c r="W65" s="6" t="str">
        <f aca="false">IF($C65=W$1,$K65,"")</f>
        <v/>
      </c>
      <c r="X65" s="5" t="str">
        <f aca="false">IF($C65=W$1,$F65,"")</f>
        <v/>
      </c>
      <c r="Y65" s="6" t="str">
        <f aca="false">IF($C65=Y$1,$K65,"")</f>
        <v/>
      </c>
      <c r="Z65" s="5" t="str">
        <f aca="false">IF($C65=Y$1,$F65,"")</f>
        <v/>
      </c>
      <c r="AA65" s="6" t="str">
        <f aca="false">IF($C65=AA$1,$K65,"")</f>
        <v/>
      </c>
      <c r="AB65" s="5" t="str">
        <f aca="false">IF($C65=AA$1,$F65,"")</f>
        <v/>
      </c>
      <c r="AC65" s="6" t="str">
        <f aca="false">IF($C65=AC$1,$K65,"")</f>
        <v/>
      </c>
      <c r="AD65" s="5" t="str">
        <f aca="false">IF($C65=AC$1,$F65,"")</f>
        <v/>
      </c>
      <c r="AE65" s="6" t="str">
        <f aca="false">IF($C65=AE$1,$K65,"")</f>
        <v/>
      </c>
      <c r="AF65" s="5" t="str">
        <f aca="false">IF($C65=AE$1,$F65,"")</f>
        <v/>
      </c>
      <c r="AG65" s="6" t="str">
        <f aca="false">IF($C65=AG$1,$K65,"")</f>
        <v/>
      </c>
      <c r="AH65" s="5" t="str">
        <f aca="false">IF($C65=AG$1,$F65,"")</f>
        <v/>
      </c>
      <c r="AI65" s="6" t="str">
        <f aca="false">IF($C65=AI$1,$K65,"")</f>
        <v/>
      </c>
      <c r="AJ65" s="5" t="str">
        <f aca="false">IF($C65=AI$1,$F65,"")</f>
        <v/>
      </c>
      <c r="AK65" s="6" t="str">
        <f aca="false">IF($C65=AK$1,$K65,"")</f>
        <v/>
      </c>
      <c r="AL65" s="5" t="str">
        <f aca="false">IF($C65=AK$1,$F65,"")</f>
        <v/>
      </c>
      <c r="AM65" s="6" t="str">
        <f aca="false">IF($C65=AM$1,$K65,"")</f>
        <v/>
      </c>
      <c r="AN65" s="5" t="str">
        <f aca="false">IF($C65=AM$1,$F65,"")</f>
        <v/>
      </c>
      <c r="AO65" s="6" t="n">
        <f aca="false">IF($C65=AO$1,$K65,"")</f>
        <v>13319.25</v>
      </c>
      <c r="AP65" s="5" t="n">
        <f aca="false">IF($C65=AO$1,$F65,"")</f>
        <v>20.65</v>
      </c>
      <c r="AQ65" s="5" t="n">
        <f aca="false">IF($F65="",0,IF($D65=AQ$1,$F65,0))</f>
        <v>20.65</v>
      </c>
      <c r="AR65" s="6" t="n">
        <f aca="false">IF($D65=AQ$1,N($K65)-N($L65)-N($O65),0)</f>
        <v>99.2499999999982</v>
      </c>
      <c r="AS65" s="5" t="n">
        <f aca="false">IF($F65="",0,IF($D65=AS$1,$F65,0))</f>
        <v>0</v>
      </c>
      <c r="AT65" s="6" t="n">
        <f aca="false">IF($D65=AS$1,N($K65)-N($L65)-N($O65),0)</f>
        <v>0</v>
      </c>
      <c r="AU65" s="5" t="n">
        <f aca="false">IF(N($J65)&gt;0,N($F65),0)</f>
        <v>20.65</v>
      </c>
      <c r="AV65" s="6" t="n">
        <f aca="false">IF(N($J65)&gt;0,$F65*$J65,0)</f>
        <v>413</v>
      </c>
    </row>
    <row r="66" customFormat="false" ht="15" hidden="false" customHeight="false" outlineLevel="0" collapsed="false">
      <c r="A66" s="16" t="n">
        <v>46087</v>
      </c>
      <c r="B66" s="4" t="s">
        <v>232</v>
      </c>
      <c r="C66" s="4" t="s">
        <v>27</v>
      </c>
      <c r="D66" s="4" t="s">
        <v>67</v>
      </c>
      <c r="E66" s="4" t="n">
        <f aca="false">E65+1</f>
        <v>64</v>
      </c>
      <c r="F66" s="5" t="n">
        <v>31.89</v>
      </c>
      <c r="G66" s="6" t="n">
        <v>640</v>
      </c>
      <c r="H66" s="6" t="n">
        <v>645</v>
      </c>
      <c r="I66" s="6" t="n">
        <v>0</v>
      </c>
      <c r="J66" s="6" t="n">
        <v>20</v>
      </c>
      <c r="K66" s="6" t="n">
        <f aca="false">IF($F66="","",$F66*$H66)</f>
        <v>20569.05</v>
      </c>
      <c r="L66" s="6" t="n">
        <f aca="false">IFERROR(ROUND($F66*$G66,-1),"")</f>
        <v>20410</v>
      </c>
      <c r="M66" s="4"/>
      <c r="N66" s="5" t="n">
        <f aca="false">IF($F66="","",IF(N($I66)&gt;0,$F66,0))</f>
        <v>0</v>
      </c>
      <c r="O66" s="6" t="n">
        <f aca="false">IF($F66="","",N($N66)*N($I66))</f>
        <v>0</v>
      </c>
      <c r="P66" s="6" t="str">
        <f aca="false">IF(OR($C66=P$1,$C66="Titan Rocks"),$K66,"")</f>
        <v/>
      </c>
      <c r="Q66" s="6" t="str">
        <f aca="false">IF($C66=Q$1,$K66,"")</f>
        <v/>
      </c>
      <c r="R66" s="5" t="str">
        <f aca="false">IF($C66=Q$1,$F66,"")</f>
        <v/>
      </c>
      <c r="S66" s="6" t="str">
        <f aca="false">IF($C66=S$1,$K66,"")</f>
        <v/>
      </c>
      <c r="T66" s="5" t="str">
        <f aca="false">IF($C66=S$1,$F66,"")</f>
        <v/>
      </c>
      <c r="U66" s="6" t="str">
        <f aca="false">IF($C66=U$1,$K66,"")</f>
        <v/>
      </c>
      <c r="V66" s="5" t="str">
        <f aca="false">IF($C66=U$1,$F66,"")</f>
        <v/>
      </c>
      <c r="W66" s="6" t="str">
        <f aca="false">IF($C66=W$1,$K66,"")</f>
        <v/>
      </c>
      <c r="X66" s="5" t="str">
        <f aca="false">IF($C66=W$1,$F66,"")</f>
        <v/>
      </c>
      <c r="Y66" s="6" t="str">
        <f aca="false">IF($C66=Y$1,$K66,"")</f>
        <v/>
      </c>
      <c r="Z66" s="5" t="str">
        <f aca="false">IF($C66=Y$1,$F66,"")</f>
        <v/>
      </c>
      <c r="AA66" s="6" t="str">
        <f aca="false">IF($C66=AA$1,$K66,"")</f>
        <v/>
      </c>
      <c r="AB66" s="5" t="str">
        <f aca="false">IF($C66=AA$1,$F66,"")</f>
        <v/>
      </c>
      <c r="AC66" s="6" t="str">
        <f aca="false">IF($C66=AC$1,$K66,"")</f>
        <v/>
      </c>
      <c r="AD66" s="5" t="str">
        <f aca="false">IF($C66=AC$1,$F66,"")</f>
        <v/>
      </c>
      <c r="AE66" s="6" t="str">
        <f aca="false">IF($C66=AE$1,$K66,"")</f>
        <v/>
      </c>
      <c r="AF66" s="5" t="str">
        <f aca="false">IF($C66=AE$1,$F66,"")</f>
        <v/>
      </c>
      <c r="AG66" s="6" t="str">
        <f aca="false">IF($C66=AG$1,$K66,"")</f>
        <v/>
      </c>
      <c r="AH66" s="5" t="str">
        <f aca="false">IF($C66=AG$1,$F66,"")</f>
        <v/>
      </c>
      <c r="AI66" s="6" t="str">
        <f aca="false">IF($C66=AI$1,$K66,"")</f>
        <v/>
      </c>
      <c r="AJ66" s="5" t="str">
        <f aca="false">IF($C66=AI$1,$F66,"")</f>
        <v/>
      </c>
      <c r="AK66" s="6" t="str">
        <f aca="false">IF($C66=AK$1,$K66,"")</f>
        <v/>
      </c>
      <c r="AL66" s="5" t="str">
        <f aca="false">IF($C66=AK$1,$F66,"")</f>
        <v/>
      </c>
      <c r="AM66" s="6" t="str">
        <f aca="false">IF($C66=AM$1,$K66,"")</f>
        <v/>
      </c>
      <c r="AN66" s="5" t="str">
        <f aca="false">IF($C66=AM$1,$F66,"")</f>
        <v/>
      </c>
      <c r="AO66" s="6" t="n">
        <f aca="false">IF($C66=AO$1,$K66,"")</f>
        <v>20569.05</v>
      </c>
      <c r="AP66" s="5" t="n">
        <f aca="false">IF($C66=AO$1,$F66,"")</f>
        <v>31.89</v>
      </c>
      <c r="AQ66" s="5" t="n">
        <f aca="false">IF($F66="",0,IF($D66=AQ$1,$F66,0))</f>
        <v>31.89</v>
      </c>
      <c r="AR66" s="6" t="n">
        <f aca="false">IF($D66=AQ$1,N($K66)-N($L66)-N($O66),0)</f>
        <v>159.049999999999</v>
      </c>
      <c r="AS66" s="5" t="n">
        <f aca="false">IF($F66="",0,IF($D66=AS$1,$F66,0))</f>
        <v>0</v>
      </c>
      <c r="AT66" s="6" t="n">
        <f aca="false">IF($D66=AS$1,N($K66)-N($L66)-N($O66),0)</f>
        <v>0</v>
      </c>
      <c r="AU66" s="5" t="n">
        <f aca="false">IF(N($J66)&gt;0,N($F66),0)</f>
        <v>31.89</v>
      </c>
      <c r="AV66" s="6" t="n">
        <f aca="false">IF(N($J66)&gt;0,$F66*$J66,0)</f>
        <v>637.8</v>
      </c>
    </row>
    <row r="67" customFormat="false" ht="15" hidden="false" customHeight="false" outlineLevel="0" collapsed="false">
      <c r="A67" s="16" t="n">
        <v>46087</v>
      </c>
      <c r="B67" s="4" t="s">
        <v>232</v>
      </c>
      <c r="C67" s="4" t="s">
        <v>27</v>
      </c>
      <c r="D67" s="4" t="s">
        <v>68</v>
      </c>
      <c r="E67" s="4" t="n">
        <f aca="false">E66+1</f>
        <v>65</v>
      </c>
      <c r="F67" s="5" t="n">
        <v>30.75</v>
      </c>
      <c r="G67" s="6" t="n">
        <v>610</v>
      </c>
      <c r="H67" s="6" t="n">
        <v>645</v>
      </c>
      <c r="I67" s="6" t="n">
        <v>0</v>
      </c>
      <c r="J67" s="6" t="n">
        <v>20</v>
      </c>
      <c r="K67" s="6" t="n">
        <f aca="false">IF($F67="","",$F67*$H67)</f>
        <v>19833.75</v>
      </c>
      <c r="L67" s="6" t="n">
        <f aca="false">IFERROR(ROUND($F67*$G67,-1),"")</f>
        <v>18760</v>
      </c>
      <c r="M67" s="4"/>
      <c r="N67" s="5" t="n">
        <f aca="false">IF($F67="","",IF(N($I67)&gt;0,$F67,0))</f>
        <v>0</v>
      </c>
      <c r="O67" s="6" t="n">
        <f aca="false">IF($F67="","",N($N67)*N($I67))</f>
        <v>0</v>
      </c>
      <c r="P67" s="6" t="str">
        <f aca="false">IF(OR($C67=P$1,$C67="Titan Rocks"),$K67,"")</f>
        <v/>
      </c>
      <c r="Q67" s="6" t="str">
        <f aca="false">IF($C67=Q$1,$K67,"")</f>
        <v/>
      </c>
      <c r="R67" s="5" t="str">
        <f aca="false">IF($C67=Q$1,$F67,"")</f>
        <v/>
      </c>
      <c r="S67" s="6" t="str">
        <f aca="false">IF($C67=S$1,$K67,"")</f>
        <v/>
      </c>
      <c r="T67" s="5" t="str">
        <f aca="false">IF($C67=S$1,$F67,"")</f>
        <v/>
      </c>
      <c r="U67" s="6" t="str">
        <f aca="false">IF($C67=U$1,$K67,"")</f>
        <v/>
      </c>
      <c r="V67" s="5" t="str">
        <f aca="false">IF($C67=U$1,$F67,"")</f>
        <v/>
      </c>
      <c r="W67" s="6" t="str">
        <f aca="false">IF($C67=W$1,$K67,"")</f>
        <v/>
      </c>
      <c r="X67" s="5" t="str">
        <f aca="false">IF($C67=W$1,$F67,"")</f>
        <v/>
      </c>
      <c r="Y67" s="6" t="str">
        <f aca="false">IF($C67=Y$1,$K67,"")</f>
        <v/>
      </c>
      <c r="Z67" s="5" t="str">
        <f aca="false">IF($C67=Y$1,$F67,"")</f>
        <v/>
      </c>
      <c r="AA67" s="6" t="str">
        <f aca="false">IF($C67=AA$1,$K67,"")</f>
        <v/>
      </c>
      <c r="AB67" s="5" t="str">
        <f aca="false">IF($C67=AA$1,$F67,"")</f>
        <v/>
      </c>
      <c r="AC67" s="6" t="str">
        <f aca="false">IF($C67=AC$1,$K67,"")</f>
        <v/>
      </c>
      <c r="AD67" s="5" t="str">
        <f aca="false">IF($C67=AC$1,$F67,"")</f>
        <v/>
      </c>
      <c r="AE67" s="6" t="str">
        <f aca="false">IF($C67=AE$1,$K67,"")</f>
        <v/>
      </c>
      <c r="AF67" s="5" t="str">
        <f aca="false">IF($C67=AE$1,$F67,"")</f>
        <v/>
      </c>
      <c r="AG67" s="6" t="str">
        <f aca="false">IF($C67=AG$1,$K67,"")</f>
        <v/>
      </c>
      <c r="AH67" s="5" t="str">
        <f aca="false">IF($C67=AG$1,$F67,"")</f>
        <v/>
      </c>
      <c r="AI67" s="6" t="str">
        <f aca="false">IF($C67=AI$1,$K67,"")</f>
        <v/>
      </c>
      <c r="AJ67" s="5" t="str">
        <f aca="false">IF($C67=AI$1,$F67,"")</f>
        <v/>
      </c>
      <c r="AK67" s="6" t="str">
        <f aca="false">IF($C67=AK$1,$K67,"")</f>
        <v/>
      </c>
      <c r="AL67" s="5" t="str">
        <f aca="false">IF($C67=AK$1,$F67,"")</f>
        <v/>
      </c>
      <c r="AM67" s="6" t="str">
        <f aca="false">IF($C67=AM$1,$K67,"")</f>
        <v/>
      </c>
      <c r="AN67" s="5" t="str">
        <f aca="false">IF($C67=AM$1,$F67,"")</f>
        <v/>
      </c>
      <c r="AO67" s="6" t="n">
        <f aca="false">IF($C67=AO$1,$K67,"")</f>
        <v>19833.75</v>
      </c>
      <c r="AP67" s="5" t="n">
        <f aca="false">IF($C67=AO$1,$F67,"")</f>
        <v>30.75</v>
      </c>
      <c r="AQ67" s="5" t="n">
        <f aca="false">IF($F67="",0,IF($D67=AQ$1,$F67,0))</f>
        <v>0</v>
      </c>
      <c r="AR67" s="6" t="n">
        <f aca="false">IF($D67=AQ$1,N($K67)-N($L67)-N($O67),0)</f>
        <v>0</v>
      </c>
      <c r="AS67" s="5" t="n">
        <f aca="false">IF($F67="",0,IF($D67=AS$1,$F67,0))</f>
        <v>30.75</v>
      </c>
      <c r="AT67" s="6" t="n">
        <f aca="false">IF($D67=AS$1,N($K67)-N($L67)-N($O67),0)</f>
        <v>1073.75</v>
      </c>
      <c r="AU67" s="5" t="n">
        <f aca="false">IF(N($J67)&gt;0,N($F67),0)</f>
        <v>30.75</v>
      </c>
      <c r="AV67" s="6" t="n">
        <f aca="false">IF(N($J67)&gt;0,$F67*$J67,0)</f>
        <v>615</v>
      </c>
    </row>
    <row r="68" customFormat="false" ht="15" hidden="false" customHeight="false" outlineLevel="0" collapsed="false">
      <c r="A68" s="16" t="n">
        <v>46087</v>
      </c>
      <c r="B68" s="4" t="s">
        <v>232</v>
      </c>
      <c r="C68" s="4" t="s">
        <v>16</v>
      </c>
      <c r="D68" s="4" t="s">
        <v>67</v>
      </c>
      <c r="E68" s="4" t="n">
        <f aca="false">E67+1</f>
        <v>66</v>
      </c>
      <c r="F68" s="5" t="n">
        <v>32.92</v>
      </c>
      <c r="G68" s="6" t="n">
        <v>640</v>
      </c>
      <c r="H68" s="6" t="n">
        <v>900</v>
      </c>
      <c r="I68" s="6" t="n">
        <v>250</v>
      </c>
      <c r="J68" s="6" t="n">
        <v>20</v>
      </c>
      <c r="K68" s="6" t="n">
        <f aca="false">IF($F68="","",$F68*$H68)</f>
        <v>29628</v>
      </c>
      <c r="L68" s="6" t="n">
        <f aca="false">IFERROR(ROUND($F68*$G68,-1),"")</f>
        <v>21070</v>
      </c>
      <c r="M68" s="4" t="s">
        <v>36</v>
      </c>
      <c r="N68" s="5" t="n">
        <f aca="false">IF($F68="","",IF(N($I68)&gt;0,$F68,0))</f>
        <v>32.92</v>
      </c>
      <c r="O68" s="6" t="n">
        <f aca="false">IF($F68="","",N($N68)*N($I68))</f>
        <v>8230</v>
      </c>
      <c r="P68" s="6" t="str">
        <f aca="false">IF(OR($C68=P$1,$C68="Titan Rocks"),$K68,"")</f>
        <v/>
      </c>
      <c r="Q68" s="6" t="str">
        <f aca="false">IF($C68=Q$1,$K68,"")</f>
        <v/>
      </c>
      <c r="R68" s="5" t="str">
        <f aca="false">IF($C68=Q$1,$F68,"")</f>
        <v/>
      </c>
      <c r="S68" s="6" t="n">
        <f aca="false">IF($C68=S$1,$K68,"")</f>
        <v>29628</v>
      </c>
      <c r="T68" s="5" t="n">
        <f aca="false">IF($C68=S$1,$F68,"")</f>
        <v>32.92</v>
      </c>
      <c r="U68" s="6" t="str">
        <f aca="false">IF($C68=U$1,$K68,"")</f>
        <v/>
      </c>
      <c r="V68" s="5" t="str">
        <f aca="false">IF($C68=U$1,$F68,"")</f>
        <v/>
      </c>
      <c r="W68" s="6" t="str">
        <f aca="false">IF($C68=W$1,$K68,"")</f>
        <v/>
      </c>
      <c r="X68" s="5" t="str">
        <f aca="false">IF($C68=W$1,$F68,"")</f>
        <v/>
      </c>
      <c r="Y68" s="6" t="str">
        <f aca="false">IF($C68=Y$1,$K68,"")</f>
        <v/>
      </c>
      <c r="Z68" s="5" t="str">
        <f aca="false">IF($C68=Y$1,$F68,"")</f>
        <v/>
      </c>
      <c r="AA68" s="6" t="str">
        <f aca="false">IF($C68=AA$1,$K68,"")</f>
        <v/>
      </c>
      <c r="AB68" s="5" t="str">
        <f aca="false">IF($C68=AA$1,$F68,"")</f>
        <v/>
      </c>
      <c r="AC68" s="6" t="str">
        <f aca="false">IF($C68=AC$1,$K68,"")</f>
        <v/>
      </c>
      <c r="AD68" s="5" t="str">
        <f aca="false">IF($C68=AC$1,$F68,"")</f>
        <v/>
      </c>
      <c r="AE68" s="6" t="str">
        <f aca="false">IF($C68=AE$1,$K68,"")</f>
        <v/>
      </c>
      <c r="AF68" s="5" t="str">
        <f aca="false">IF($C68=AE$1,$F68,"")</f>
        <v/>
      </c>
      <c r="AG68" s="6" t="str">
        <f aca="false">IF($C68=AG$1,$K68,"")</f>
        <v/>
      </c>
      <c r="AH68" s="5" t="str">
        <f aca="false">IF($C68=AG$1,$F68,"")</f>
        <v/>
      </c>
      <c r="AI68" s="6" t="str">
        <f aca="false">IF($C68=AI$1,$K68,"")</f>
        <v/>
      </c>
      <c r="AJ68" s="5" t="str">
        <f aca="false">IF($C68=AI$1,$F68,"")</f>
        <v/>
      </c>
      <c r="AK68" s="6" t="str">
        <f aca="false">IF($C68=AK$1,$K68,"")</f>
        <v/>
      </c>
      <c r="AL68" s="5" t="str">
        <f aca="false">IF($C68=AK$1,$F68,"")</f>
        <v/>
      </c>
      <c r="AM68" s="6" t="str">
        <f aca="false">IF($C68=AM$1,$K68,"")</f>
        <v/>
      </c>
      <c r="AN68" s="5" t="str">
        <f aca="false">IF($C68=AM$1,$F68,"")</f>
        <v/>
      </c>
      <c r="AO68" s="6" t="str">
        <f aca="false">IF($C68=AO$1,$K68,"")</f>
        <v/>
      </c>
      <c r="AP68" s="5" t="str">
        <f aca="false">IF($C68=AO$1,$F68,"")</f>
        <v/>
      </c>
      <c r="AQ68" s="5" t="n">
        <f aca="false">IF($F68="",0,IF($D68=AQ$1,$F68,0))</f>
        <v>32.92</v>
      </c>
      <c r="AR68" s="6" t="n">
        <f aca="false">IF($D68=AQ$1,N($K68)-N($L68)-N($O68),0)</f>
        <v>328</v>
      </c>
      <c r="AS68" s="5" t="n">
        <f aca="false">IF($F68="",0,IF($D68=AS$1,$F68,0))</f>
        <v>0</v>
      </c>
      <c r="AT68" s="6" t="n">
        <f aca="false">IF($D68=AS$1,N($K68)-N($L68)-N($O68),0)</f>
        <v>0</v>
      </c>
      <c r="AU68" s="5" t="n">
        <f aca="false">IF(N($J68)&gt;0,N($F68),0)</f>
        <v>32.92</v>
      </c>
      <c r="AV68" s="6" t="n">
        <f aca="false">IF(N($J68)&gt;0,$F68*$J68,0)</f>
        <v>658.4</v>
      </c>
    </row>
    <row r="69" customFormat="false" ht="15" hidden="false" customHeight="false" outlineLevel="0" collapsed="false">
      <c r="A69" s="16" t="n">
        <v>46087</v>
      </c>
      <c r="B69" s="4" t="s">
        <v>232</v>
      </c>
      <c r="C69" s="4" t="s">
        <v>27</v>
      </c>
      <c r="D69" s="4" t="s">
        <v>68</v>
      </c>
      <c r="E69" s="4" t="n">
        <f aca="false">E68+1</f>
        <v>67</v>
      </c>
      <c r="F69" s="5" t="n">
        <v>30.11</v>
      </c>
      <c r="G69" s="6" t="n">
        <v>610</v>
      </c>
      <c r="H69" s="6" t="n">
        <v>645</v>
      </c>
      <c r="I69" s="6" t="n">
        <v>0</v>
      </c>
      <c r="J69" s="6" t="n">
        <v>20</v>
      </c>
      <c r="K69" s="6" t="n">
        <f aca="false">IF($F69="","",$F69*$H69)</f>
        <v>19420.95</v>
      </c>
      <c r="L69" s="6" t="n">
        <f aca="false">IFERROR(ROUND($F69*$G69,-1),"")</f>
        <v>18370</v>
      </c>
      <c r="M69" s="4"/>
      <c r="N69" s="5" t="n">
        <f aca="false">IF($F69="","",IF(N($I69)&gt;0,$F69,0))</f>
        <v>0</v>
      </c>
      <c r="O69" s="6" t="n">
        <f aca="false">IF($F69="","",N($N69)*N($I69))</f>
        <v>0</v>
      </c>
      <c r="P69" s="6" t="str">
        <f aca="false">IF(OR($C69=P$1,$C69="Titan Rocks"),$K69,"")</f>
        <v/>
      </c>
      <c r="Q69" s="6" t="str">
        <f aca="false">IF($C69=Q$1,$K69,"")</f>
        <v/>
      </c>
      <c r="R69" s="5" t="str">
        <f aca="false">IF($C69=Q$1,$F69,"")</f>
        <v/>
      </c>
      <c r="S69" s="6" t="str">
        <f aca="false">IF($C69=S$1,$K69,"")</f>
        <v/>
      </c>
      <c r="T69" s="5" t="str">
        <f aca="false">IF($C69=S$1,$F69,"")</f>
        <v/>
      </c>
      <c r="U69" s="6" t="str">
        <f aca="false">IF($C69=U$1,$K69,"")</f>
        <v/>
      </c>
      <c r="V69" s="5" t="str">
        <f aca="false">IF($C69=U$1,$F69,"")</f>
        <v/>
      </c>
      <c r="W69" s="6" t="str">
        <f aca="false">IF($C69=W$1,$K69,"")</f>
        <v/>
      </c>
      <c r="X69" s="5" t="str">
        <f aca="false">IF($C69=W$1,$F69,"")</f>
        <v/>
      </c>
      <c r="Y69" s="6" t="str">
        <f aca="false">IF($C69=Y$1,$K69,"")</f>
        <v/>
      </c>
      <c r="Z69" s="5" t="str">
        <f aca="false">IF($C69=Y$1,$F69,"")</f>
        <v/>
      </c>
      <c r="AA69" s="6" t="str">
        <f aca="false">IF($C69=AA$1,$K69,"")</f>
        <v/>
      </c>
      <c r="AB69" s="5" t="str">
        <f aca="false">IF($C69=AA$1,$F69,"")</f>
        <v/>
      </c>
      <c r="AC69" s="6" t="str">
        <f aca="false">IF($C69=AC$1,$K69,"")</f>
        <v/>
      </c>
      <c r="AD69" s="5" t="str">
        <f aca="false">IF($C69=AC$1,$F69,"")</f>
        <v/>
      </c>
      <c r="AE69" s="6" t="str">
        <f aca="false">IF($C69=AE$1,$K69,"")</f>
        <v/>
      </c>
      <c r="AF69" s="5" t="str">
        <f aca="false">IF($C69=AE$1,$F69,"")</f>
        <v/>
      </c>
      <c r="AG69" s="6" t="str">
        <f aca="false">IF($C69=AG$1,$K69,"")</f>
        <v/>
      </c>
      <c r="AH69" s="5" t="str">
        <f aca="false">IF($C69=AG$1,$F69,"")</f>
        <v/>
      </c>
      <c r="AI69" s="6" t="str">
        <f aca="false">IF($C69=AI$1,$K69,"")</f>
        <v/>
      </c>
      <c r="AJ69" s="5" t="str">
        <f aca="false">IF($C69=AI$1,$F69,"")</f>
        <v/>
      </c>
      <c r="AK69" s="6" t="str">
        <f aca="false">IF($C69=AK$1,$K69,"")</f>
        <v/>
      </c>
      <c r="AL69" s="5" t="str">
        <f aca="false">IF($C69=AK$1,$F69,"")</f>
        <v/>
      </c>
      <c r="AM69" s="6" t="str">
        <f aca="false">IF($C69=AM$1,$K69,"")</f>
        <v/>
      </c>
      <c r="AN69" s="5" t="str">
        <f aca="false">IF($C69=AM$1,$F69,"")</f>
        <v/>
      </c>
      <c r="AO69" s="6" t="n">
        <f aca="false">IF($C69=AO$1,$K69,"")</f>
        <v>19420.95</v>
      </c>
      <c r="AP69" s="5" t="n">
        <f aca="false">IF($C69=AO$1,$F69,"")</f>
        <v>30.11</v>
      </c>
      <c r="AQ69" s="5" t="n">
        <f aca="false">IF($F69="",0,IF($D69=AQ$1,$F69,0))</f>
        <v>0</v>
      </c>
      <c r="AR69" s="6" t="n">
        <f aca="false">IF($D69=AQ$1,N($K69)-N($L69)-N($O69),0)</f>
        <v>0</v>
      </c>
      <c r="AS69" s="5" t="n">
        <f aca="false">IF($F69="",0,IF($D69=AS$1,$F69,0))</f>
        <v>30.11</v>
      </c>
      <c r="AT69" s="6" t="n">
        <f aca="false">IF($D69=AS$1,N($K69)-N($L69)-N($O69),0)</f>
        <v>1050.95</v>
      </c>
      <c r="AU69" s="5" t="n">
        <f aca="false">IF(N($J69)&gt;0,N($F69),0)</f>
        <v>30.11</v>
      </c>
      <c r="AV69" s="6" t="n">
        <f aca="false">IF(N($J69)&gt;0,$F69*$J69,0)</f>
        <v>602.2</v>
      </c>
    </row>
    <row r="70" customFormat="false" ht="15" hidden="false" customHeight="false" outlineLevel="0" collapsed="false">
      <c r="A70" s="16" t="n">
        <v>46087</v>
      </c>
      <c r="B70" s="4" t="s">
        <v>232</v>
      </c>
      <c r="C70" s="4" t="s">
        <v>27</v>
      </c>
      <c r="D70" s="4" t="s">
        <v>68</v>
      </c>
      <c r="E70" s="4" t="n">
        <f aca="false">E69+1</f>
        <v>68</v>
      </c>
      <c r="F70" s="5" t="n">
        <v>20.02</v>
      </c>
      <c r="G70" s="6" t="n">
        <v>610</v>
      </c>
      <c r="H70" s="6" t="n">
        <v>645</v>
      </c>
      <c r="I70" s="6" t="n">
        <v>0</v>
      </c>
      <c r="J70" s="6" t="n">
        <v>20</v>
      </c>
      <c r="K70" s="6" t="n">
        <f aca="false">IF($F70="","",$F70*$H70)</f>
        <v>12912.9</v>
      </c>
      <c r="L70" s="6" t="n">
        <f aca="false">IFERROR(ROUND($F70*$G70,-1),"")</f>
        <v>12210</v>
      </c>
      <c r="M70" s="4"/>
      <c r="N70" s="5" t="n">
        <f aca="false">IF($F70="","",IF(N($I70)&gt;0,$F70,0))</f>
        <v>0</v>
      </c>
      <c r="O70" s="6" t="n">
        <f aca="false">IF($F70="","",N($N70)*N($I70))</f>
        <v>0</v>
      </c>
      <c r="P70" s="6" t="str">
        <f aca="false">IF(OR($C70=P$1,$C70="Titan Rocks"),$K70,"")</f>
        <v/>
      </c>
      <c r="Q70" s="6" t="str">
        <f aca="false">IF($C70=Q$1,$K70,"")</f>
        <v/>
      </c>
      <c r="R70" s="5" t="str">
        <f aca="false">IF($C70=Q$1,$F70,"")</f>
        <v/>
      </c>
      <c r="S70" s="6" t="str">
        <f aca="false">IF($C70=S$1,$K70,"")</f>
        <v/>
      </c>
      <c r="T70" s="5" t="str">
        <f aca="false">IF($C70=S$1,$F70,"")</f>
        <v/>
      </c>
      <c r="U70" s="6" t="str">
        <f aca="false">IF($C70=U$1,$K70,"")</f>
        <v/>
      </c>
      <c r="V70" s="5" t="str">
        <f aca="false">IF($C70=U$1,$F70,"")</f>
        <v/>
      </c>
      <c r="W70" s="6" t="str">
        <f aca="false">IF($C70=W$1,$K70,"")</f>
        <v/>
      </c>
      <c r="X70" s="5" t="str">
        <f aca="false">IF($C70=W$1,$F70,"")</f>
        <v/>
      </c>
      <c r="Y70" s="6" t="str">
        <f aca="false">IF($C70=Y$1,$K70,"")</f>
        <v/>
      </c>
      <c r="Z70" s="5" t="str">
        <f aca="false">IF($C70=Y$1,$F70,"")</f>
        <v/>
      </c>
      <c r="AA70" s="6" t="str">
        <f aca="false">IF($C70=AA$1,$K70,"")</f>
        <v/>
      </c>
      <c r="AB70" s="5" t="str">
        <f aca="false">IF($C70=AA$1,$F70,"")</f>
        <v/>
      </c>
      <c r="AC70" s="6" t="str">
        <f aca="false">IF($C70=AC$1,$K70,"")</f>
        <v/>
      </c>
      <c r="AD70" s="5" t="str">
        <f aca="false">IF($C70=AC$1,$F70,"")</f>
        <v/>
      </c>
      <c r="AE70" s="6" t="str">
        <f aca="false">IF($C70=AE$1,$K70,"")</f>
        <v/>
      </c>
      <c r="AF70" s="5" t="str">
        <f aca="false">IF($C70=AE$1,$F70,"")</f>
        <v/>
      </c>
      <c r="AG70" s="6" t="str">
        <f aca="false">IF($C70=AG$1,$K70,"")</f>
        <v/>
      </c>
      <c r="AH70" s="5" t="str">
        <f aca="false">IF($C70=AG$1,$F70,"")</f>
        <v/>
      </c>
      <c r="AI70" s="6" t="str">
        <f aca="false">IF($C70=AI$1,$K70,"")</f>
        <v/>
      </c>
      <c r="AJ70" s="5" t="str">
        <f aca="false">IF($C70=AI$1,$F70,"")</f>
        <v/>
      </c>
      <c r="AK70" s="6" t="str">
        <f aca="false">IF($C70=AK$1,$K70,"")</f>
        <v/>
      </c>
      <c r="AL70" s="5" t="str">
        <f aca="false">IF($C70=AK$1,$F70,"")</f>
        <v/>
      </c>
      <c r="AM70" s="6" t="str">
        <f aca="false">IF($C70=AM$1,$K70,"")</f>
        <v/>
      </c>
      <c r="AN70" s="5" t="str">
        <f aca="false">IF($C70=AM$1,$F70,"")</f>
        <v/>
      </c>
      <c r="AO70" s="6" t="n">
        <f aca="false">IF($C70=AO$1,$K70,"")</f>
        <v>12912.9</v>
      </c>
      <c r="AP70" s="5" t="n">
        <f aca="false">IF($C70=AO$1,$F70,"")</f>
        <v>20.02</v>
      </c>
      <c r="AQ70" s="5" t="n">
        <f aca="false">IF($F70="",0,IF($D70=AQ$1,$F70,0))</f>
        <v>0</v>
      </c>
      <c r="AR70" s="6" t="n">
        <f aca="false">IF($D70=AQ$1,N($K70)-N($L70)-N($O70),0)</f>
        <v>0</v>
      </c>
      <c r="AS70" s="5" t="n">
        <f aca="false">IF($F70="",0,IF($D70=AS$1,$F70,0))</f>
        <v>20.02</v>
      </c>
      <c r="AT70" s="6" t="n">
        <f aca="false">IF($D70=AS$1,N($K70)-N($L70)-N($O70),0)</f>
        <v>702.9</v>
      </c>
      <c r="AU70" s="5" t="n">
        <f aca="false">IF(N($J70)&gt;0,N($F70),0)</f>
        <v>20.02</v>
      </c>
      <c r="AV70" s="6" t="n">
        <f aca="false">IF(N($J70)&gt;0,$F70*$J70,0)</f>
        <v>400.4</v>
      </c>
    </row>
    <row r="71" customFormat="false" ht="15" hidden="false" customHeight="false" outlineLevel="0" collapsed="false">
      <c r="A71" s="16" t="n">
        <v>46087</v>
      </c>
      <c r="B71" s="4" t="s">
        <v>232</v>
      </c>
      <c r="C71" s="4" t="s">
        <v>27</v>
      </c>
      <c r="D71" s="4" t="s">
        <v>68</v>
      </c>
      <c r="E71" s="4" t="n">
        <f aca="false">E70+1</f>
        <v>69</v>
      </c>
      <c r="F71" s="5" t="n">
        <v>21.05</v>
      </c>
      <c r="G71" s="6" t="n">
        <v>610</v>
      </c>
      <c r="H71" s="6" t="n">
        <v>645</v>
      </c>
      <c r="I71" s="6" t="n">
        <v>0</v>
      </c>
      <c r="J71" s="6" t="n">
        <v>20</v>
      </c>
      <c r="K71" s="6" t="n">
        <f aca="false">IF($F71="","",$F71*$H71)</f>
        <v>13577.25</v>
      </c>
      <c r="L71" s="6" t="n">
        <f aca="false">IFERROR(ROUND($F71*$G71,-1),"")</f>
        <v>12840</v>
      </c>
      <c r="M71" s="4"/>
      <c r="N71" s="5" t="n">
        <f aca="false">IF($F71="","",IF(N($I71)&gt;0,$F71,0))</f>
        <v>0</v>
      </c>
      <c r="O71" s="6" t="n">
        <f aca="false">IF($F71="","",N($N71)*N($I71))</f>
        <v>0</v>
      </c>
      <c r="P71" s="6" t="str">
        <f aca="false">IF(OR($C71=P$1,$C71="Titan Rocks"),$K71,"")</f>
        <v/>
      </c>
      <c r="Q71" s="6" t="str">
        <f aca="false">IF($C71=Q$1,$K71,"")</f>
        <v/>
      </c>
      <c r="R71" s="5" t="str">
        <f aca="false">IF($C71=Q$1,$F71,"")</f>
        <v/>
      </c>
      <c r="S71" s="6" t="str">
        <f aca="false">IF($C71=S$1,$K71,"")</f>
        <v/>
      </c>
      <c r="T71" s="5" t="str">
        <f aca="false">IF($C71=S$1,$F71,"")</f>
        <v/>
      </c>
      <c r="U71" s="6" t="str">
        <f aca="false">IF($C71=U$1,$K71,"")</f>
        <v/>
      </c>
      <c r="V71" s="5" t="str">
        <f aca="false">IF($C71=U$1,$F71,"")</f>
        <v/>
      </c>
      <c r="W71" s="6" t="str">
        <f aca="false">IF($C71=W$1,$K71,"")</f>
        <v/>
      </c>
      <c r="X71" s="5" t="str">
        <f aca="false">IF($C71=W$1,$F71,"")</f>
        <v/>
      </c>
      <c r="Y71" s="6" t="str">
        <f aca="false">IF($C71=Y$1,$K71,"")</f>
        <v/>
      </c>
      <c r="Z71" s="5" t="str">
        <f aca="false">IF($C71=Y$1,$F71,"")</f>
        <v/>
      </c>
      <c r="AA71" s="6" t="str">
        <f aca="false">IF($C71=AA$1,$K71,"")</f>
        <v/>
      </c>
      <c r="AB71" s="5" t="str">
        <f aca="false">IF($C71=AA$1,$F71,"")</f>
        <v/>
      </c>
      <c r="AC71" s="6" t="str">
        <f aca="false">IF($C71=AC$1,$K71,"")</f>
        <v/>
      </c>
      <c r="AD71" s="5" t="str">
        <f aca="false">IF($C71=AC$1,$F71,"")</f>
        <v/>
      </c>
      <c r="AE71" s="6" t="str">
        <f aca="false">IF($C71=AE$1,$K71,"")</f>
        <v/>
      </c>
      <c r="AF71" s="5" t="str">
        <f aca="false">IF($C71=AE$1,$F71,"")</f>
        <v/>
      </c>
      <c r="AG71" s="6" t="str">
        <f aca="false">IF($C71=AG$1,$K71,"")</f>
        <v/>
      </c>
      <c r="AH71" s="5" t="str">
        <f aca="false">IF($C71=AG$1,$F71,"")</f>
        <v/>
      </c>
      <c r="AI71" s="6" t="str">
        <f aca="false">IF($C71=AI$1,$K71,"")</f>
        <v/>
      </c>
      <c r="AJ71" s="5" t="str">
        <f aca="false">IF($C71=AI$1,$F71,"")</f>
        <v/>
      </c>
      <c r="AK71" s="6" t="str">
        <f aca="false">IF($C71=AK$1,$K71,"")</f>
        <v/>
      </c>
      <c r="AL71" s="5" t="str">
        <f aca="false">IF($C71=AK$1,$F71,"")</f>
        <v/>
      </c>
      <c r="AM71" s="6" t="str">
        <f aca="false">IF($C71=AM$1,$K71,"")</f>
        <v/>
      </c>
      <c r="AN71" s="5" t="str">
        <f aca="false">IF($C71=AM$1,$F71,"")</f>
        <v/>
      </c>
      <c r="AO71" s="6" t="n">
        <f aca="false">IF($C71=AO$1,$K71,"")</f>
        <v>13577.25</v>
      </c>
      <c r="AP71" s="5" t="n">
        <f aca="false">IF($C71=AO$1,$F71,"")</f>
        <v>21.05</v>
      </c>
      <c r="AQ71" s="5" t="n">
        <f aca="false">IF($F71="",0,IF($D71=AQ$1,$F71,0))</f>
        <v>0</v>
      </c>
      <c r="AR71" s="6" t="n">
        <f aca="false">IF($D71=AQ$1,N($K71)-N($L71)-N($O71),0)</f>
        <v>0</v>
      </c>
      <c r="AS71" s="5" t="n">
        <f aca="false">IF($F71="",0,IF($D71=AS$1,$F71,0))</f>
        <v>21.05</v>
      </c>
      <c r="AT71" s="6" t="n">
        <f aca="false">IF($D71=AS$1,N($K71)-N($L71)-N($O71),0)</f>
        <v>737.25</v>
      </c>
      <c r="AU71" s="5" t="n">
        <f aca="false">IF(N($J71)&gt;0,N($F71),0)</f>
        <v>21.05</v>
      </c>
      <c r="AV71" s="6" t="n">
        <f aca="false">IF(N($J71)&gt;0,$F71*$J71,0)</f>
        <v>421</v>
      </c>
    </row>
    <row r="72" customFormat="false" ht="15" hidden="false" customHeight="false" outlineLevel="0" collapsed="false">
      <c r="A72" s="16" t="n">
        <v>46087</v>
      </c>
      <c r="B72" s="4" t="s">
        <v>232</v>
      </c>
      <c r="C72" s="4" t="s">
        <v>27</v>
      </c>
      <c r="D72" s="4" t="s">
        <v>68</v>
      </c>
      <c r="E72" s="4" t="n">
        <f aca="false">E71+1</f>
        <v>70</v>
      </c>
      <c r="F72" s="5" t="n">
        <v>31.31</v>
      </c>
      <c r="G72" s="6" t="n">
        <v>610</v>
      </c>
      <c r="H72" s="6" t="n">
        <v>645</v>
      </c>
      <c r="I72" s="6" t="n">
        <v>0</v>
      </c>
      <c r="J72" s="6" t="n">
        <v>20</v>
      </c>
      <c r="K72" s="6" t="n">
        <f aca="false">IF($F72="","",$F72*$H72)</f>
        <v>20194.95</v>
      </c>
      <c r="L72" s="6" t="n">
        <f aca="false">IFERROR(ROUND($F72*$G72,-1),"")</f>
        <v>19100</v>
      </c>
      <c r="M72" s="4"/>
      <c r="N72" s="5" t="n">
        <f aca="false">IF($F72="","",IF(N($I72)&gt;0,$F72,0))</f>
        <v>0</v>
      </c>
      <c r="O72" s="6" t="n">
        <f aca="false">IF($F72="","",N($N72)*N($I72))</f>
        <v>0</v>
      </c>
      <c r="P72" s="6" t="str">
        <f aca="false">IF(OR($C72=P$1,$C72="Titan Rocks"),$K72,"")</f>
        <v/>
      </c>
      <c r="Q72" s="6" t="str">
        <f aca="false">IF($C72=Q$1,$K72,"")</f>
        <v/>
      </c>
      <c r="R72" s="5" t="str">
        <f aca="false">IF($C72=Q$1,$F72,"")</f>
        <v/>
      </c>
      <c r="S72" s="6" t="str">
        <f aca="false">IF($C72=S$1,$K72,"")</f>
        <v/>
      </c>
      <c r="T72" s="5" t="str">
        <f aca="false">IF($C72=S$1,$F72,"")</f>
        <v/>
      </c>
      <c r="U72" s="6" t="str">
        <f aca="false">IF($C72=U$1,$K72,"")</f>
        <v/>
      </c>
      <c r="V72" s="5" t="str">
        <f aca="false">IF($C72=U$1,$F72,"")</f>
        <v/>
      </c>
      <c r="W72" s="6" t="str">
        <f aca="false">IF($C72=W$1,$K72,"")</f>
        <v/>
      </c>
      <c r="X72" s="5" t="str">
        <f aca="false">IF($C72=W$1,$F72,"")</f>
        <v/>
      </c>
      <c r="Y72" s="6" t="str">
        <f aca="false">IF($C72=Y$1,$K72,"")</f>
        <v/>
      </c>
      <c r="Z72" s="5" t="str">
        <f aca="false">IF($C72=Y$1,$F72,"")</f>
        <v/>
      </c>
      <c r="AA72" s="6" t="str">
        <f aca="false">IF($C72=AA$1,$K72,"")</f>
        <v/>
      </c>
      <c r="AB72" s="5" t="str">
        <f aca="false">IF($C72=AA$1,$F72,"")</f>
        <v/>
      </c>
      <c r="AC72" s="6" t="str">
        <f aca="false">IF($C72=AC$1,$K72,"")</f>
        <v/>
      </c>
      <c r="AD72" s="5" t="str">
        <f aca="false">IF($C72=AC$1,$F72,"")</f>
        <v/>
      </c>
      <c r="AE72" s="6" t="str">
        <f aca="false">IF($C72=AE$1,$K72,"")</f>
        <v/>
      </c>
      <c r="AF72" s="5" t="str">
        <f aca="false">IF($C72=AE$1,$F72,"")</f>
        <v/>
      </c>
      <c r="AG72" s="6" t="str">
        <f aca="false">IF($C72=AG$1,$K72,"")</f>
        <v/>
      </c>
      <c r="AH72" s="5" t="str">
        <f aca="false">IF($C72=AG$1,$F72,"")</f>
        <v/>
      </c>
      <c r="AI72" s="6" t="str">
        <f aca="false">IF($C72=AI$1,$K72,"")</f>
        <v/>
      </c>
      <c r="AJ72" s="5" t="str">
        <f aca="false">IF($C72=AI$1,$F72,"")</f>
        <v/>
      </c>
      <c r="AK72" s="6" t="str">
        <f aca="false">IF($C72=AK$1,$K72,"")</f>
        <v/>
      </c>
      <c r="AL72" s="5" t="str">
        <f aca="false">IF($C72=AK$1,$F72,"")</f>
        <v/>
      </c>
      <c r="AM72" s="6" t="str">
        <f aca="false">IF($C72=AM$1,$K72,"")</f>
        <v/>
      </c>
      <c r="AN72" s="5" t="str">
        <f aca="false">IF($C72=AM$1,$F72,"")</f>
        <v/>
      </c>
      <c r="AO72" s="6" t="n">
        <f aca="false">IF($C72=AO$1,$K72,"")</f>
        <v>20194.95</v>
      </c>
      <c r="AP72" s="5" t="n">
        <f aca="false">IF($C72=AO$1,$F72,"")</f>
        <v>31.31</v>
      </c>
      <c r="AQ72" s="5" t="n">
        <f aca="false">IF($F72="",0,IF($D72=AQ$1,$F72,0))</f>
        <v>0</v>
      </c>
      <c r="AR72" s="6" t="n">
        <f aca="false">IF($D72=AQ$1,N($K72)-N($L72)-N($O72),0)</f>
        <v>0</v>
      </c>
      <c r="AS72" s="5" t="n">
        <f aca="false">IF($F72="",0,IF($D72=AS$1,$F72,0))</f>
        <v>31.31</v>
      </c>
      <c r="AT72" s="6" t="n">
        <f aca="false">IF($D72=AS$1,N($K72)-N($L72)-N($O72),0)</f>
        <v>1094.95</v>
      </c>
      <c r="AU72" s="5" t="n">
        <f aca="false">IF(N($J72)&gt;0,N($F72),0)</f>
        <v>31.31</v>
      </c>
      <c r="AV72" s="6" t="n">
        <f aca="false">IF(N($J72)&gt;0,$F72*$J72,0)</f>
        <v>626.2</v>
      </c>
    </row>
    <row r="73" customFormat="false" ht="15" hidden="false" customHeight="false" outlineLevel="0" collapsed="false">
      <c r="A73" s="16" t="n">
        <v>46087</v>
      </c>
      <c r="B73" s="4" t="s">
        <v>232</v>
      </c>
      <c r="C73" s="4" t="s">
        <v>27</v>
      </c>
      <c r="D73" s="4" t="s">
        <v>67</v>
      </c>
      <c r="E73" s="4" t="n">
        <f aca="false">E72+1</f>
        <v>71</v>
      </c>
      <c r="F73" s="5" t="n">
        <v>33.27</v>
      </c>
      <c r="G73" s="6" t="n">
        <v>640</v>
      </c>
      <c r="H73" s="6" t="n">
        <v>645</v>
      </c>
      <c r="I73" s="6" t="n">
        <v>0</v>
      </c>
      <c r="J73" s="6" t="n">
        <v>20</v>
      </c>
      <c r="K73" s="6" t="n">
        <f aca="false">IF($F73="","",$F73*$H73)</f>
        <v>21459.15</v>
      </c>
      <c r="L73" s="6" t="n">
        <f aca="false">IFERROR(ROUND($F73*$G73,-1),"")</f>
        <v>21290</v>
      </c>
      <c r="M73" s="4"/>
      <c r="N73" s="5" t="n">
        <f aca="false">IF($F73="","",IF(N($I73)&gt;0,$F73,0))</f>
        <v>0</v>
      </c>
      <c r="O73" s="6" t="n">
        <f aca="false">IF($F73="","",N($N73)*N($I73))</f>
        <v>0</v>
      </c>
      <c r="P73" s="6" t="str">
        <f aca="false">IF(OR($C73=P$1,$C73="Titan Rocks"),$K73,"")</f>
        <v/>
      </c>
      <c r="Q73" s="6" t="str">
        <f aca="false">IF($C73=Q$1,$K73,"")</f>
        <v/>
      </c>
      <c r="R73" s="5" t="str">
        <f aca="false">IF($C73=Q$1,$F73,"")</f>
        <v/>
      </c>
      <c r="S73" s="6" t="str">
        <f aca="false">IF($C73=S$1,$K73,"")</f>
        <v/>
      </c>
      <c r="T73" s="5" t="str">
        <f aca="false">IF($C73=S$1,$F73,"")</f>
        <v/>
      </c>
      <c r="U73" s="6" t="str">
        <f aca="false">IF($C73=U$1,$K73,"")</f>
        <v/>
      </c>
      <c r="V73" s="5" t="str">
        <f aca="false">IF($C73=U$1,$F73,"")</f>
        <v/>
      </c>
      <c r="W73" s="6" t="str">
        <f aca="false">IF($C73=W$1,$K73,"")</f>
        <v/>
      </c>
      <c r="X73" s="5" t="str">
        <f aca="false">IF($C73=W$1,$F73,"")</f>
        <v/>
      </c>
      <c r="Y73" s="6" t="str">
        <f aca="false">IF($C73=Y$1,$K73,"")</f>
        <v/>
      </c>
      <c r="Z73" s="5" t="str">
        <f aca="false">IF($C73=Y$1,$F73,"")</f>
        <v/>
      </c>
      <c r="AA73" s="6" t="str">
        <f aca="false">IF($C73=AA$1,$K73,"")</f>
        <v/>
      </c>
      <c r="AB73" s="5" t="str">
        <f aca="false">IF($C73=AA$1,$F73,"")</f>
        <v/>
      </c>
      <c r="AC73" s="6" t="str">
        <f aca="false">IF($C73=AC$1,$K73,"")</f>
        <v/>
      </c>
      <c r="AD73" s="5" t="str">
        <f aca="false">IF($C73=AC$1,$F73,"")</f>
        <v/>
      </c>
      <c r="AE73" s="6" t="str">
        <f aca="false">IF($C73=AE$1,$K73,"")</f>
        <v/>
      </c>
      <c r="AF73" s="5" t="str">
        <f aca="false">IF($C73=AE$1,$F73,"")</f>
        <v/>
      </c>
      <c r="AG73" s="6" t="str">
        <f aca="false">IF($C73=AG$1,$K73,"")</f>
        <v/>
      </c>
      <c r="AH73" s="5" t="str">
        <f aca="false">IF($C73=AG$1,$F73,"")</f>
        <v/>
      </c>
      <c r="AI73" s="6" t="str">
        <f aca="false">IF($C73=AI$1,$K73,"")</f>
        <v/>
      </c>
      <c r="AJ73" s="5" t="str">
        <f aca="false">IF($C73=AI$1,$F73,"")</f>
        <v/>
      </c>
      <c r="AK73" s="6" t="str">
        <f aca="false">IF($C73=AK$1,$K73,"")</f>
        <v/>
      </c>
      <c r="AL73" s="5" t="str">
        <f aca="false">IF($C73=AK$1,$F73,"")</f>
        <v/>
      </c>
      <c r="AM73" s="6" t="str">
        <f aca="false">IF($C73=AM$1,$K73,"")</f>
        <v/>
      </c>
      <c r="AN73" s="5" t="str">
        <f aca="false">IF($C73=AM$1,$F73,"")</f>
        <v/>
      </c>
      <c r="AO73" s="6" t="n">
        <f aca="false">IF($C73=AO$1,$K73,"")</f>
        <v>21459.15</v>
      </c>
      <c r="AP73" s="5" t="n">
        <f aca="false">IF($C73=AO$1,$F73,"")</f>
        <v>33.27</v>
      </c>
      <c r="AQ73" s="5" t="n">
        <f aca="false">IF($F73="",0,IF($D73=AQ$1,$F73,0))</f>
        <v>33.27</v>
      </c>
      <c r="AR73" s="6" t="n">
        <f aca="false">IF($D73=AQ$1,N($K73)-N($L73)-N($O73),0)</f>
        <v>169.150000000001</v>
      </c>
      <c r="AS73" s="5" t="n">
        <f aca="false">IF($F73="",0,IF($D73=AS$1,$F73,0))</f>
        <v>0</v>
      </c>
      <c r="AT73" s="6" t="n">
        <f aca="false">IF($D73=AS$1,N($K73)-N($L73)-N($O73),0)</f>
        <v>0</v>
      </c>
      <c r="AU73" s="5" t="n">
        <f aca="false">IF(N($J73)&gt;0,N($F73),0)</f>
        <v>33.27</v>
      </c>
      <c r="AV73" s="6" t="n">
        <f aca="false">IF(N($J73)&gt;0,$F73*$J73,0)</f>
        <v>665.4</v>
      </c>
    </row>
    <row r="74" customFormat="false" ht="15" hidden="false" customHeight="false" outlineLevel="0" collapsed="false">
      <c r="A74" s="16" t="n">
        <v>46087</v>
      </c>
      <c r="B74" s="4" t="s">
        <v>232</v>
      </c>
      <c r="C74" s="4" t="s">
        <v>16</v>
      </c>
      <c r="D74" s="4" t="s">
        <v>68</v>
      </c>
      <c r="E74" s="4" t="n">
        <f aca="false">E73+1</f>
        <v>72</v>
      </c>
      <c r="F74" s="5" t="n">
        <v>35.77</v>
      </c>
      <c r="G74" s="6" t="n">
        <v>610</v>
      </c>
      <c r="H74" s="6" t="n">
        <v>900</v>
      </c>
      <c r="I74" s="6" t="n">
        <v>250</v>
      </c>
      <c r="J74" s="6" t="n">
        <v>20</v>
      </c>
      <c r="K74" s="6" t="n">
        <f aca="false">IF($F74="","",$F74*$H74)</f>
        <v>32193</v>
      </c>
      <c r="L74" s="6" t="n">
        <f aca="false">IFERROR(ROUND($F74*$G74,-1),"")</f>
        <v>21820</v>
      </c>
      <c r="M74" s="4" t="s">
        <v>36</v>
      </c>
      <c r="N74" s="5" t="n">
        <f aca="false">IF($F74="","",IF(N($I74)&gt;0,$F74,0))</f>
        <v>35.77</v>
      </c>
      <c r="O74" s="6" t="n">
        <f aca="false">IF($F74="","",N($N74)*N($I74))</f>
        <v>8942.5</v>
      </c>
      <c r="P74" s="6" t="str">
        <f aca="false">IF(OR($C74=P$1,$C74="Titan Rocks"),$K74,"")</f>
        <v/>
      </c>
      <c r="Q74" s="6" t="str">
        <f aca="false">IF($C74=Q$1,$K74,"")</f>
        <v/>
      </c>
      <c r="R74" s="5" t="str">
        <f aca="false">IF($C74=Q$1,$F74,"")</f>
        <v/>
      </c>
      <c r="S74" s="6" t="n">
        <f aca="false">IF($C74=S$1,$K74,"")</f>
        <v>32193</v>
      </c>
      <c r="T74" s="5" t="n">
        <f aca="false">IF($C74=S$1,$F74,"")</f>
        <v>35.77</v>
      </c>
      <c r="U74" s="6" t="str">
        <f aca="false">IF($C74=U$1,$K74,"")</f>
        <v/>
      </c>
      <c r="V74" s="5" t="str">
        <f aca="false">IF($C74=U$1,$F74,"")</f>
        <v/>
      </c>
      <c r="W74" s="6" t="str">
        <f aca="false">IF($C74=W$1,$K74,"")</f>
        <v/>
      </c>
      <c r="X74" s="5" t="str">
        <f aca="false">IF($C74=W$1,$F74,"")</f>
        <v/>
      </c>
      <c r="Y74" s="6" t="str">
        <f aca="false">IF($C74=Y$1,$K74,"")</f>
        <v/>
      </c>
      <c r="Z74" s="5" t="str">
        <f aca="false">IF($C74=Y$1,$F74,"")</f>
        <v/>
      </c>
      <c r="AA74" s="6" t="str">
        <f aca="false">IF($C74=AA$1,$K74,"")</f>
        <v/>
      </c>
      <c r="AB74" s="5" t="str">
        <f aca="false">IF($C74=AA$1,$F74,"")</f>
        <v/>
      </c>
      <c r="AC74" s="6" t="str">
        <f aca="false">IF($C74=AC$1,$K74,"")</f>
        <v/>
      </c>
      <c r="AD74" s="5" t="str">
        <f aca="false">IF($C74=AC$1,$F74,"")</f>
        <v/>
      </c>
      <c r="AE74" s="6" t="str">
        <f aca="false">IF($C74=AE$1,$K74,"")</f>
        <v/>
      </c>
      <c r="AF74" s="5" t="str">
        <f aca="false">IF($C74=AE$1,$F74,"")</f>
        <v/>
      </c>
      <c r="AG74" s="6" t="str">
        <f aca="false">IF($C74=AG$1,$K74,"")</f>
        <v/>
      </c>
      <c r="AH74" s="5" t="str">
        <f aca="false">IF($C74=AG$1,$F74,"")</f>
        <v/>
      </c>
      <c r="AI74" s="6" t="str">
        <f aca="false">IF($C74=AI$1,$K74,"")</f>
        <v/>
      </c>
      <c r="AJ74" s="5" t="str">
        <f aca="false">IF($C74=AI$1,$F74,"")</f>
        <v/>
      </c>
      <c r="AK74" s="6" t="str">
        <f aca="false">IF($C74=AK$1,$K74,"")</f>
        <v/>
      </c>
      <c r="AL74" s="5" t="str">
        <f aca="false">IF($C74=AK$1,$F74,"")</f>
        <v/>
      </c>
      <c r="AM74" s="6" t="str">
        <f aca="false">IF($C74=AM$1,$K74,"")</f>
        <v/>
      </c>
      <c r="AN74" s="5" t="str">
        <f aca="false">IF($C74=AM$1,$F74,"")</f>
        <v/>
      </c>
      <c r="AO74" s="6" t="str">
        <f aca="false">IF($C74=AO$1,$K74,"")</f>
        <v/>
      </c>
      <c r="AP74" s="5" t="str">
        <f aca="false">IF($C74=AO$1,$F74,"")</f>
        <v/>
      </c>
      <c r="AQ74" s="5" t="n">
        <f aca="false">IF($F74="",0,IF($D74=AQ$1,$F74,0))</f>
        <v>0</v>
      </c>
      <c r="AR74" s="6" t="n">
        <f aca="false">IF($D74=AQ$1,N($K74)-N($L74)-N($O74),0)</f>
        <v>0</v>
      </c>
      <c r="AS74" s="5" t="n">
        <f aca="false">IF($F74="",0,IF($D74=AS$1,$F74,0))</f>
        <v>35.77</v>
      </c>
      <c r="AT74" s="6" t="n">
        <f aca="false">IF($D74=AS$1,N($K74)-N($L74)-N($O74),0)</f>
        <v>1430.5</v>
      </c>
      <c r="AU74" s="5" t="n">
        <f aca="false">IF(N($J74)&gt;0,N($F74),0)</f>
        <v>35.77</v>
      </c>
      <c r="AV74" s="6" t="n">
        <f aca="false">IF(N($J74)&gt;0,$F74*$J74,0)</f>
        <v>715.4</v>
      </c>
    </row>
    <row r="75" customFormat="false" ht="15" hidden="false" customHeight="false" outlineLevel="0" collapsed="false">
      <c r="A75" s="16" t="n">
        <v>46088</v>
      </c>
      <c r="B75" s="4" t="s">
        <v>232</v>
      </c>
      <c r="C75" s="4" t="s">
        <v>16</v>
      </c>
      <c r="D75" s="4" t="s">
        <v>68</v>
      </c>
      <c r="E75" s="4" t="n">
        <f aca="false">E74+1</f>
        <v>73</v>
      </c>
      <c r="F75" s="5" t="n">
        <v>28.54</v>
      </c>
      <c r="G75" s="6" t="n">
        <v>610</v>
      </c>
      <c r="H75" s="6" t="n">
        <v>900</v>
      </c>
      <c r="I75" s="6" t="n">
        <v>250</v>
      </c>
      <c r="J75" s="6" t="n">
        <v>20</v>
      </c>
      <c r="K75" s="6" t="n">
        <f aca="false">IF($F75="","",$F75*$H75)</f>
        <v>25686</v>
      </c>
      <c r="L75" s="6" t="n">
        <f aca="false">IFERROR(ROUND($F75*$G75,-1),"")</f>
        <v>17410</v>
      </c>
      <c r="M75" s="4" t="s">
        <v>36</v>
      </c>
      <c r="N75" s="5" t="n">
        <f aca="false">IF($F75="","",IF(N($I75)&gt;0,$F75,0))</f>
        <v>28.54</v>
      </c>
      <c r="O75" s="6" t="n">
        <f aca="false">IF($F75="","",N($N75)*N($I75))</f>
        <v>7135</v>
      </c>
      <c r="P75" s="6" t="str">
        <f aca="false">IF(OR($C75=P$1,$C75="Titan Rocks"),$K75,"")</f>
        <v/>
      </c>
      <c r="Q75" s="6" t="str">
        <f aca="false">IF($C75=Q$1,$K75,"")</f>
        <v/>
      </c>
      <c r="R75" s="5" t="str">
        <f aca="false">IF($C75=Q$1,$F75,"")</f>
        <v/>
      </c>
      <c r="S75" s="6" t="n">
        <f aca="false">IF($C75=S$1,$K75,"")</f>
        <v>25686</v>
      </c>
      <c r="T75" s="5" t="n">
        <f aca="false">IF($C75=S$1,$F75,"")</f>
        <v>28.54</v>
      </c>
      <c r="U75" s="6" t="str">
        <f aca="false">IF($C75=U$1,$K75,"")</f>
        <v/>
      </c>
      <c r="V75" s="5" t="str">
        <f aca="false">IF($C75=U$1,$F75,"")</f>
        <v/>
      </c>
      <c r="W75" s="6" t="str">
        <f aca="false">IF($C75=W$1,$K75,"")</f>
        <v/>
      </c>
      <c r="X75" s="5" t="str">
        <f aca="false">IF($C75=W$1,$F75,"")</f>
        <v/>
      </c>
      <c r="Y75" s="6" t="str">
        <f aca="false">IF($C75=Y$1,$K75,"")</f>
        <v/>
      </c>
      <c r="Z75" s="5" t="str">
        <f aca="false">IF($C75=Y$1,$F75,"")</f>
        <v/>
      </c>
      <c r="AA75" s="6" t="str">
        <f aca="false">IF($C75=AA$1,$K75,"")</f>
        <v/>
      </c>
      <c r="AB75" s="5" t="str">
        <f aca="false">IF($C75=AA$1,$F75,"")</f>
        <v/>
      </c>
      <c r="AC75" s="6" t="str">
        <f aca="false">IF($C75=AC$1,$K75,"")</f>
        <v/>
      </c>
      <c r="AD75" s="5" t="str">
        <f aca="false">IF($C75=AC$1,$F75,"")</f>
        <v/>
      </c>
      <c r="AE75" s="6" t="str">
        <f aca="false">IF($C75=AE$1,$K75,"")</f>
        <v/>
      </c>
      <c r="AF75" s="5" t="str">
        <f aca="false">IF($C75=AE$1,$F75,"")</f>
        <v/>
      </c>
      <c r="AG75" s="6" t="str">
        <f aca="false">IF($C75=AG$1,$K75,"")</f>
        <v/>
      </c>
      <c r="AH75" s="5" t="str">
        <f aca="false">IF($C75=AG$1,$F75,"")</f>
        <v/>
      </c>
      <c r="AI75" s="6" t="str">
        <f aca="false">IF($C75=AI$1,$K75,"")</f>
        <v/>
      </c>
      <c r="AJ75" s="5" t="str">
        <f aca="false">IF($C75=AI$1,$F75,"")</f>
        <v/>
      </c>
      <c r="AK75" s="6" t="str">
        <f aca="false">IF($C75=AK$1,$K75,"")</f>
        <v/>
      </c>
      <c r="AL75" s="5" t="str">
        <f aca="false">IF($C75=AK$1,$F75,"")</f>
        <v/>
      </c>
      <c r="AM75" s="6" t="str">
        <f aca="false">IF($C75=AM$1,$K75,"")</f>
        <v/>
      </c>
      <c r="AN75" s="5" t="str">
        <f aca="false">IF($C75=AM$1,$F75,"")</f>
        <v/>
      </c>
      <c r="AO75" s="6" t="str">
        <f aca="false">IF($C75=AO$1,$K75,"")</f>
        <v/>
      </c>
      <c r="AP75" s="5" t="str">
        <f aca="false">IF($C75=AO$1,$F75,"")</f>
        <v/>
      </c>
      <c r="AQ75" s="5" t="n">
        <f aca="false">IF($F75="",0,IF($D75=AQ$1,$F75,0))</f>
        <v>0</v>
      </c>
      <c r="AR75" s="6" t="n">
        <f aca="false">IF($D75=AQ$1,N($K75)-N($L75)-N($O75),0)</f>
        <v>0</v>
      </c>
      <c r="AS75" s="5" t="n">
        <f aca="false">IF($F75="",0,IF($D75=AS$1,$F75,0))</f>
        <v>28.54</v>
      </c>
      <c r="AT75" s="6" t="n">
        <f aca="false">IF($D75=AS$1,N($K75)-N($L75)-N($O75),0)</f>
        <v>1141</v>
      </c>
      <c r="AU75" s="5" t="n">
        <f aca="false">IF(N($J75)&gt;0,N($F75),0)</f>
        <v>28.54</v>
      </c>
      <c r="AV75" s="6" t="n">
        <f aca="false">IF(N($J75)&gt;0,$F75*$J75,0)</f>
        <v>570.8</v>
      </c>
    </row>
    <row r="76" customFormat="false" ht="15" hidden="false" customHeight="false" outlineLevel="0" collapsed="false">
      <c r="A76" s="16" t="n">
        <v>46088</v>
      </c>
      <c r="B76" s="4" t="s">
        <v>232</v>
      </c>
      <c r="C76" s="4" t="s">
        <v>27</v>
      </c>
      <c r="D76" s="4" t="s">
        <v>67</v>
      </c>
      <c r="E76" s="4" t="n">
        <f aca="false">E75+1</f>
        <v>74</v>
      </c>
      <c r="F76" s="5" t="n">
        <v>20.88</v>
      </c>
      <c r="G76" s="6" t="n">
        <v>640</v>
      </c>
      <c r="H76" s="6" t="n">
        <v>645</v>
      </c>
      <c r="I76" s="6" t="n">
        <v>0</v>
      </c>
      <c r="J76" s="6" t="n">
        <v>20</v>
      </c>
      <c r="K76" s="6" t="n">
        <f aca="false">IF($F76="","",$F76*$H76)</f>
        <v>13467.6</v>
      </c>
      <c r="L76" s="6" t="n">
        <f aca="false">IFERROR(ROUND($F76*$G76,-1),"")</f>
        <v>13360</v>
      </c>
      <c r="M76" s="4"/>
      <c r="N76" s="5" t="n">
        <f aca="false">IF($F76="","",IF(N($I76)&gt;0,$F76,0))</f>
        <v>0</v>
      </c>
      <c r="O76" s="6" t="n">
        <f aca="false">IF($F76="","",N($N76)*N($I76))</f>
        <v>0</v>
      </c>
      <c r="P76" s="6" t="str">
        <f aca="false">IF(OR($C76=P$1,$C76="Titan Rocks"),$K76,"")</f>
        <v/>
      </c>
      <c r="Q76" s="6" t="str">
        <f aca="false">IF($C76=Q$1,$K76,"")</f>
        <v/>
      </c>
      <c r="R76" s="5" t="str">
        <f aca="false">IF($C76=Q$1,$F76,"")</f>
        <v/>
      </c>
      <c r="S76" s="6" t="str">
        <f aca="false">IF($C76=S$1,$K76,"")</f>
        <v/>
      </c>
      <c r="T76" s="5" t="str">
        <f aca="false">IF($C76=S$1,$F76,"")</f>
        <v/>
      </c>
      <c r="U76" s="6" t="str">
        <f aca="false">IF($C76=U$1,$K76,"")</f>
        <v/>
      </c>
      <c r="V76" s="5" t="str">
        <f aca="false">IF($C76=U$1,$F76,"")</f>
        <v/>
      </c>
      <c r="W76" s="6" t="str">
        <f aca="false">IF($C76=W$1,$K76,"")</f>
        <v/>
      </c>
      <c r="X76" s="5" t="str">
        <f aca="false">IF($C76=W$1,$F76,"")</f>
        <v/>
      </c>
      <c r="Y76" s="6" t="str">
        <f aca="false">IF($C76=Y$1,$K76,"")</f>
        <v/>
      </c>
      <c r="Z76" s="5" t="str">
        <f aca="false">IF($C76=Y$1,$F76,"")</f>
        <v/>
      </c>
      <c r="AA76" s="6" t="str">
        <f aca="false">IF($C76=AA$1,$K76,"")</f>
        <v/>
      </c>
      <c r="AB76" s="5" t="str">
        <f aca="false">IF($C76=AA$1,$F76,"")</f>
        <v/>
      </c>
      <c r="AC76" s="6" t="str">
        <f aca="false">IF($C76=AC$1,$K76,"")</f>
        <v/>
      </c>
      <c r="AD76" s="5" t="str">
        <f aca="false">IF($C76=AC$1,$F76,"")</f>
        <v/>
      </c>
      <c r="AE76" s="6" t="str">
        <f aca="false">IF($C76=AE$1,$K76,"")</f>
        <v/>
      </c>
      <c r="AF76" s="5" t="str">
        <f aca="false">IF($C76=AE$1,$F76,"")</f>
        <v/>
      </c>
      <c r="AG76" s="6" t="str">
        <f aca="false">IF($C76=AG$1,$K76,"")</f>
        <v/>
      </c>
      <c r="AH76" s="5" t="str">
        <f aca="false">IF($C76=AG$1,$F76,"")</f>
        <v/>
      </c>
      <c r="AI76" s="6" t="str">
        <f aca="false">IF($C76=AI$1,$K76,"")</f>
        <v/>
      </c>
      <c r="AJ76" s="5" t="str">
        <f aca="false">IF($C76=AI$1,$F76,"")</f>
        <v/>
      </c>
      <c r="AK76" s="6" t="str">
        <f aca="false">IF($C76=AK$1,$K76,"")</f>
        <v/>
      </c>
      <c r="AL76" s="5" t="str">
        <f aca="false">IF($C76=AK$1,$F76,"")</f>
        <v/>
      </c>
      <c r="AM76" s="6" t="str">
        <f aca="false">IF($C76=AM$1,$K76,"")</f>
        <v/>
      </c>
      <c r="AN76" s="5" t="str">
        <f aca="false">IF($C76=AM$1,$F76,"")</f>
        <v/>
      </c>
      <c r="AO76" s="6" t="n">
        <f aca="false">IF($C76=AO$1,$K76,"")</f>
        <v>13467.6</v>
      </c>
      <c r="AP76" s="5" t="n">
        <f aca="false">IF($C76=AO$1,$F76,"")</f>
        <v>20.88</v>
      </c>
      <c r="AQ76" s="5" t="n">
        <f aca="false">IF($F76="",0,IF($D76=AQ$1,$F76,0))</f>
        <v>20.88</v>
      </c>
      <c r="AR76" s="6" t="n">
        <f aca="false">IF($D76=AQ$1,N($K76)-N($L76)-N($O76),0)</f>
        <v>107.599999999999</v>
      </c>
      <c r="AS76" s="5" t="n">
        <f aca="false">IF($F76="",0,IF($D76=AS$1,$F76,0))</f>
        <v>0</v>
      </c>
      <c r="AT76" s="6" t="n">
        <f aca="false">IF($D76=AS$1,N($K76)-N($L76)-N($O76),0)</f>
        <v>0</v>
      </c>
      <c r="AU76" s="5" t="n">
        <f aca="false">IF(N($J76)&gt;0,N($F76),0)</f>
        <v>20.88</v>
      </c>
      <c r="AV76" s="6" t="n">
        <f aca="false">IF(N($J76)&gt;0,$F76*$J76,0)</f>
        <v>417.6</v>
      </c>
    </row>
    <row r="77" customFormat="false" ht="15" hidden="false" customHeight="false" outlineLevel="0" collapsed="false">
      <c r="A77" s="16" t="n">
        <v>46088</v>
      </c>
      <c r="B77" s="4" t="s">
        <v>232</v>
      </c>
      <c r="C77" s="4" t="s">
        <v>27</v>
      </c>
      <c r="D77" s="4" t="s">
        <v>68</v>
      </c>
      <c r="E77" s="4" t="n">
        <f aca="false">E76+1</f>
        <v>75</v>
      </c>
      <c r="F77" s="5" t="n">
        <v>31.38</v>
      </c>
      <c r="G77" s="6" t="n">
        <v>610</v>
      </c>
      <c r="H77" s="6" t="n">
        <v>645</v>
      </c>
      <c r="I77" s="6" t="n">
        <v>0</v>
      </c>
      <c r="J77" s="6" t="n">
        <v>20</v>
      </c>
      <c r="K77" s="6" t="n">
        <f aca="false">IF($F77="","",$F77*$H77)</f>
        <v>20240.1</v>
      </c>
      <c r="L77" s="6" t="n">
        <f aca="false">IFERROR(ROUND($F77*$G77,-1),"")</f>
        <v>19140</v>
      </c>
      <c r="M77" s="4"/>
      <c r="N77" s="5" t="n">
        <f aca="false">IF($F77="","",IF(N($I77)&gt;0,$F77,0))</f>
        <v>0</v>
      </c>
      <c r="O77" s="6" t="n">
        <f aca="false">IF($F77="","",N($N77)*N($I77))</f>
        <v>0</v>
      </c>
      <c r="P77" s="6" t="str">
        <f aca="false">IF(OR($C77=P$1,$C77="Titan Rocks"),$K77,"")</f>
        <v/>
      </c>
      <c r="Q77" s="6" t="str">
        <f aca="false">IF($C77=Q$1,$K77,"")</f>
        <v/>
      </c>
      <c r="R77" s="5" t="str">
        <f aca="false">IF($C77=Q$1,$F77,"")</f>
        <v/>
      </c>
      <c r="S77" s="6" t="str">
        <f aca="false">IF($C77=S$1,$K77,"")</f>
        <v/>
      </c>
      <c r="T77" s="5" t="str">
        <f aca="false">IF($C77=S$1,$F77,"")</f>
        <v/>
      </c>
      <c r="U77" s="6" t="str">
        <f aca="false">IF($C77=U$1,$K77,"")</f>
        <v/>
      </c>
      <c r="V77" s="5" t="str">
        <f aca="false">IF($C77=U$1,$F77,"")</f>
        <v/>
      </c>
      <c r="W77" s="6" t="str">
        <f aca="false">IF($C77=W$1,$K77,"")</f>
        <v/>
      </c>
      <c r="X77" s="5" t="str">
        <f aca="false">IF($C77=W$1,$F77,"")</f>
        <v/>
      </c>
      <c r="Y77" s="6" t="str">
        <f aca="false">IF($C77=Y$1,$K77,"")</f>
        <v/>
      </c>
      <c r="Z77" s="5" t="str">
        <f aca="false">IF($C77=Y$1,$F77,"")</f>
        <v/>
      </c>
      <c r="AA77" s="6" t="str">
        <f aca="false">IF($C77=AA$1,$K77,"")</f>
        <v/>
      </c>
      <c r="AB77" s="5" t="str">
        <f aca="false">IF($C77=AA$1,$F77,"")</f>
        <v/>
      </c>
      <c r="AC77" s="6" t="str">
        <f aca="false">IF($C77=AC$1,$K77,"")</f>
        <v/>
      </c>
      <c r="AD77" s="5" t="str">
        <f aca="false">IF($C77=AC$1,$F77,"")</f>
        <v/>
      </c>
      <c r="AE77" s="6" t="str">
        <f aca="false">IF($C77=AE$1,$K77,"")</f>
        <v/>
      </c>
      <c r="AF77" s="5" t="str">
        <f aca="false">IF($C77=AE$1,$F77,"")</f>
        <v/>
      </c>
      <c r="AG77" s="6" t="str">
        <f aca="false">IF($C77=AG$1,$K77,"")</f>
        <v/>
      </c>
      <c r="AH77" s="5" t="str">
        <f aca="false">IF($C77=AG$1,$F77,"")</f>
        <v/>
      </c>
      <c r="AI77" s="6" t="str">
        <f aca="false">IF($C77=AI$1,$K77,"")</f>
        <v/>
      </c>
      <c r="AJ77" s="5" t="str">
        <f aca="false">IF($C77=AI$1,$F77,"")</f>
        <v/>
      </c>
      <c r="AK77" s="6" t="str">
        <f aca="false">IF($C77=AK$1,$K77,"")</f>
        <v/>
      </c>
      <c r="AL77" s="5" t="str">
        <f aca="false">IF($C77=AK$1,$F77,"")</f>
        <v/>
      </c>
      <c r="AM77" s="6" t="str">
        <f aca="false">IF($C77=AM$1,$K77,"")</f>
        <v/>
      </c>
      <c r="AN77" s="5" t="str">
        <f aca="false">IF($C77=AM$1,$F77,"")</f>
        <v/>
      </c>
      <c r="AO77" s="6" t="n">
        <f aca="false">IF($C77=AO$1,$K77,"")</f>
        <v>20240.1</v>
      </c>
      <c r="AP77" s="5" t="n">
        <f aca="false">IF($C77=AO$1,$F77,"")</f>
        <v>31.38</v>
      </c>
      <c r="AQ77" s="5" t="n">
        <f aca="false">IF($F77="",0,IF($D77=AQ$1,$F77,0))</f>
        <v>0</v>
      </c>
      <c r="AR77" s="6" t="n">
        <f aca="false">IF($D77=AQ$1,N($K77)-N($L77)-N($O77),0)</f>
        <v>0</v>
      </c>
      <c r="AS77" s="5" t="n">
        <f aca="false">IF($F77="",0,IF($D77=AS$1,$F77,0))</f>
        <v>31.38</v>
      </c>
      <c r="AT77" s="6" t="n">
        <f aca="false">IF($D77=AS$1,N($K77)-N($L77)-N($O77),0)</f>
        <v>1100.1</v>
      </c>
      <c r="AU77" s="5" t="n">
        <f aca="false">IF(N($J77)&gt;0,N($F77),0)</f>
        <v>31.38</v>
      </c>
      <c r="AV77" s="6" t="n">
        <f aca="false">IF(N($J77)&gt;0,$F77*$J77,0)</f>
        <v>627.6</v>
      </c>
    </row>
    <row r="78" customFormat="false" ht="15" hidden="false" customHeight="false" outlineLevel="0" collapsed="false">
      <c r="A78" s="16" t="n">
        <v>46088</v>
      </c>
      <c r="B78" s="4" t="s">
        <v>232</v>
      </c>
      <c r="C78" s="4" t="s">
        <v>27</v>
      </c>
      <c r="D78" s="4" t="s">
        <v>67</v>
      </c>
      <c r="E78" s="4" t="n">
        <f aca="false">E77+1</f>
        <v>76</v>
      </c>
      <c r="F78" s="5" t="n">
        <v>33.58</v>
      </c>
      <c r="G78" s="6" t="n">
        <v>640</v>
      </c>
      <c r="H78" s="6" t="n">
        <v>645</v>
      </c>
      <c r="I78" s="6" t="n">
        <v>0</v>
      </c>
      <c r="J78" s="6" t="n">
        <v>20</v>
      </c>
      <c r="K78" s="6" t="n">
        <f aca="false">IF($F78="","",$F78*$H78)</f>
        <v>21659.1</v>
      </c>
      <c r="L78" s="6" t="n">
        <f aca="false">IFERROR(ROUND($F78*$G78,-1),"")</f>
        <v>21490</v>
      </c>
      <c r="M78" s="4"/>
      <c r="N78" s="5" t="n">
        <f aca="false">IF($F78="","",IF(N($I78)&gt;0,$F78,0))</f>
        <v>0</v>
      </c>
      <c r="O78" s="6" t="n">
        <f aca="false">IF($F78="","",N($N78)*N($I78))</f>
        <v>0</v>
      </c>
      <c r="P78" s="6" t="str">
        <f aca="false">IF(OR($C78=P$1,$C78="Titan Rocks"),$K78,"")</f>
        <v/>
      </c>
      <c r="Q78" s="6" t="str">
        <f aca="false">IF($C78=Q$1,$K78,"")</f>
        <v/>
      </c>
      <c r="R78" s="5" t="str">
        <f aca="false">IF($C78=Q$1,$F78,"")</f>
        <v/>
      </c>
      <c r="S78" s="6" t="str">
        <f aca="false">IF($C78=S$1,$K78,"")</f>
        <v/>
      </c>
      <c r="T78" s="5" t="str">
        <f aca="false">IF($C78=S$1,$F78,"")</f>
        <v/>
      </c>
      <c r="U78" s="6" t="str">
        <f aca="false">IF($C78=U$1,$K78,"")</f>
        <v/>
      </c>
      <c r="V78" s="5" t="str">
        <f aca="false">IF($C78=U$1,$F78,"")</f>
        <v/>
      </c>
      <c r="W78" s="6" t="str">
        <f aca="false">IF($C78=W$1,$K78,"")</f>
        <v/>
      </c>
      <c r="X78" s="5" t="str">
        <f aca="false">IF($C78=W$1,$F78,"")</f>
        <v/>
      </c>
      <c r="Y78" s="6" t="str">
        <f aca="false">IF($C78=Y$1,$K78,"")</f>
        <v/>
      </c>
      <c r="Z78" s="5" t="str">
        <f aca="false">IF($C78=Y$1,$F78,"")</f>
        <v/>
      </c>
      <c r="AA78" s="6" t="str">
        <f aca="false">IF($C78=AA$1,$K78,"")</f>
        <v/>
      </c>
      <c r="AB78" s="5" t="str">
        <f aca="false">IF($C78=AA$1,$F78,"")</f>
        <v/>
      </c>
      <c r="AC78" s="6" t="str">
        <f aca="false">IF($C78=AC$1,$K78,"")</f>
        <v/>
      </c>
      <c r="AD78" s="5" t="str">
        <f aca="false">IF($C78=AC$1,$F78,"")</f>
        <v/>
      </c>
      <c r="AE78" s="6" t="str">
        <f aca="false">IF($C78=AE$1,$K78,"")</f>
        <v/>
      </c>
      <c r="AF78" s="5" t="str">
        <f aca="false">IF($C78=AE$1,$F78,"")</f>
        <v/>
      </c>
      <c r="AG78" s="6" t="str">
        <f aca="false">IF($C78=AG$1,$K78,"")</f>
        <v/>
      </c>
      <c r="AH78" s="5" t="str">
        <f aca="false">IF($C78=AG$1,$F78,"")</f>
        <v/>
      </c>
      <c r="AI78" s="6" t="str">
        <f aca="false">IF($C78=AI$1,$K78,"")</f>
        <v/>
      </c>
      <c r="AJ78" s="5" t="str">
        <f aca="false">IF($C78=AI$1,$F78,"")</f>
        <v/>
      </c>
      <c r="AK78" s="6" t="str">
        <f aca="false">IF($C78=AK$1,$K78,"")</f>
        <v/>
      </c>
      <c r="AL78" s="5" t="str">
        <f aca="false">IF($C78=AK$1,$F78,"")</f>
        <v/>
      </c>
      <c r="AM78" s="6" t="str">
        <f aca="false">IF($C78=AM$1,$K78,"")</f>
        <v/>
      </c>
      <c r="AN78" s="5" t="str">
        <f aca="false">IF($C78=AM$1,$F78,"")</f>
        <v/>
      </c>
      <c r="AO78" s="6" t="n">
        <f aca="false">IF($C78=AO$1,$K78,"")</f>
        <v>21659.1</v>
      </c>
      <c r="AP78" s="5" t="n">
        <f aca="false">IF($C78=AO$1,$F78,"")</f>
        <v>33.58</v>
      </c>
      <c r="AQ78" s="5" t="n">
        <f aca="false">IF($F78="",0,IF($D78=AQ$1,$F78,0))</f>
        <v>33.58</v>
      </c>
      <c r="AR78" s="6" t="n">
        <f aca="false">IF($D78=AQ$1,N($K78)-N($L78)-N($O78),0)</f>
        <v>169.099999999999</v>
      </c>
      <c r="AS78" s="5" t="n">
        <f aca="false">IF($F78="",0,IF($D78=AS$1,$F78,0))</f>
        <v>0</v>
      </c>
      <c r="AT78" s="6" t="n">
        <f aca="false">IF($D78=AS$1,N($K78)-N($L78)-N($O78),0)</f>
        <v>0</v>
      </c>
      <c r="AU78" s="5" t="n">
        <f aca="false">IF(N($J78)&gt;0,N($F78),0)</f>
        <v>33.58</v>
      </c>
      <c r="AV78" s="6" t="n">
        <f aca="false">IF(N($J78)&gt;0,$F78*$J78,0)</f>
        <v>671.6</v>
      </c>
    </row>
    <row r="79" customFormat="false" ht="15" hidden="false" customHeight="false" outlineLevel="0" collapsed="false">
      <c r="A79" s="16" t="n">
        <v>46088</v>
      </c>
      <c r="B79" s="4" t="s">
        <v>232</v>
      </c>
      <c r="C79" s="4" t="s">
        <v>27</v>
      </c>
      <c r="D79" s="4" t="s">
        <v>68</v>
      </c>
      <c r="E79" s="4" t="n">
        <f aca="false">E78+1</f>
        <v>77</v>
      </c>
      <c r="F79" s="5" t="n">
        <v>21.02</v>
      </c>
      <c r="G79" s="6" t="n">
        <v>610</v>
      </c>
      <c r="H79" s="6" t="n">
        <v>645</v>
      </c>
      <c r="I79" s="6" t="n">
        <v>0</v>
      </c>
      <c r="J79" s="6" t="n">
        <v>20</v>
      </c>
      <c r="K79" s="6" t="n">
        <f aca="false">IF($F79="","",$F79*$H79)</f>
        <v>13557.9</v>
      </c>
      <c r="L79" s="6" t="n">
        <f aca="false">IFERROR(ROUND($F79*$G79,-1),"")</f>
        <v>12820</v>
      </c>
      <c r="M79" s="4"/>
      <c r="N79" s="5" t="n">
        <f aca="false">IF($F79="","",IF(N($I79)&gt;0,$F79,0))</f>
        <v>0</v>
      </c>
      <c r="O79" s="6" t="n">
        <f aca="false">IF($F79="","",N($N79)*N($I79))</f>
        <v>0</v>
      </c>
      <c r="P79" s="6" t="str">
        <f aca="false">IF(OR($C79=P$1,$C79="Titan Rocks"),$K79,"")</f>
        <v/>
      </c>
      <c r="Q79" s="6" t="str">
        <f aca="false">IF($C79=Q$1,$K79,"")</f>
        <v/>
      </c>
      <c r="R79" s="5" t="str">
        <f aca="false">IF($C79=Q$1,$F79,"")</f>
        <v/>
      </c>
      <c r="S79" s="6" t="str">
        <f aca="false">IF($C79=S$1,$K79,"")</f>
        <v/>
      </c>
      <c r="T79" s="5" t="str">
        <f aca="false">IF($C79=S$1,$F79,"")</f>
        <v/>
      </c>
      <c r="U79" s="6" t="str">
        <f aca="false">IF($C79=U$1,$K79,"")</f>
        <v/>
      </c>
      <c r="V79" s="5" t="str">
        <f aca="false">IF($C79=U$1,$F79,"")</f>
        <v/>
      </c>
      <c r="W79" s="6" t="str">
        <f aca="false">IF($C79=W$1,$K79,"")</f>
        <v/>
      </c>
      <c r="X79" s="5" t="str">
        <f aca="false">IF($C79=W$1,$F79,"")</f>
        <v/>
      </c>
      <c r="Y79" s="6" t="str">
        <f aca="false">IF($C79=Y$1,$K79,"")</f>
        <v/>
      </c>
      <c r="Z79" s="5" t="str">
        <f aca="false">IF($C79=Y$1,$F79,"")</f>
        <v/>
      </c>
      <c r="AA79" s="6" t="str">
        <f aca="false">IF($C79=AA$1,$K79,"")</f>
        <v/>
      </c>
      <c r="AB79" s="5" t="str">
        <f aca="false">IF($C79=AA$1,$F79,"")</f>
        <v/>
      </c>
      <c r="AC79" s="6" t="str">
        <f aca="false">IF($C79=AC$1,$K79,"")</f>
        <v/>
      </c>
      <c r="AD79" s="5" t="str">
        <f aca="false">IF($C79=AC$1,$F79,"")</f>
        <v/>
      </c>
      <c r="AE79" s="6" t="str">
        <f aca="false">IF($C79=AE$1,$K79,"")</f>
        <v/>
      </c>
      <c r="AF79" s="5" t="str">
        <f aca="false">IF($C79=AE$1,$F79,"")</f>
        <v/>
      </c>
      <c r="AG79" s="6" t="str">
        <f aca="false">IF($C79=AG$1,$K79,"")</f>
        <v/>
      </c>
      <c r="AH79" s="5" t="str">
        <f aca="false">IF($C79=AG$1,$F79,"")</f>
        <v/>
      </c>
      <c r="AI79" s="6" t="str">
        <f aca="false">IF($C79=AI$1,$K79,"")</f>
        <v/>
      </c>
      <c r="AJ79" s="5" t="str">
        <f aca="false">IF($C79=AI$1,$F79,"")</f>
        <v/>
      </c>
      <c r="AK79" s="6" t="str">
        <f aca="false">IF($C79=AK$1,$K79,"")</f>
        <v/>
      </c>
      <c r="AL79" s="5" t="str">
        <f aca="false">IF($C79=AK$1,$F79,"")</f>
        <v/>
      </c>
      <c r="AM79" s="6" t="str">
        <f aca="false">IF($C79=AM$1,$K79,"")</f>
        <v/>
      </c>
      <c r="AN79" s="5" t="str">
        <f aca="false">IF($C79=AM$1,$F79,"")</f>
        <v/>
      </c>
      <c r="AO79" s="6" t="n">
        <f aca="false">IF($C79=AO$1,$K79,"")</f>
        <v>13557.9</v>
      </c>
      <c r="AP79" s="5" t="n">
        <f aca="false">IF($C79=AO$1,$F79,"")</f>
        <v>21.02</v>
      </c>
      <c r="AQ79" s="5" t="n">
        <f aca="false">IF($F79="",0,IF($D79=AQ$1,$F79,0))</f>
        <v>0</v>
      </c>
      <c r="AR79" s="6" t="n">
        <f aca="false">IF($D79=AQ$1,N($K79)-N($L79)-N($O79),0)</f>
        <v>0</v>
      </c>
      <c r="AS79" s="5" t="n">
        <f aca="false">IF($F79="",0,IF($D79=AS$1,$F79,0))</f>
        <v>21.02</v>
      </c>
      <c r="AT79" s="6" t="n">
        <f aca="false">IF($D79=AS$1,N($K79)-N($L79)-N($O79),0)</f>
        <v>737.9</v>
      </c>
      <c r="AU79" s="5" t="n">
        <f aca="false">IF(N($J79)&gt;0,N($F79),0)</f>
        <v>21.02</v>
      </c>
      <c r="AV79" s="6" t="n">
        <f aca="false">IF(N($J79)&gt;0,$F79*$J79,0)</f>
        <v>420.4</v>
      </c>
    </row>
    <row r="80" customFormat="false" ht="15" hidden="false" customHeight="false" outlineLevel="0" collapsed="false">
      <c r="A80" s="16" t="n">
        <v>46088</v>
      </c>
      <c r="B80" s="4" t="s">
        <v>232</v>
      </c>
      <c r="C80" s="4" t="s">
        <v>27</v>
      </c>
      <c r="D80" s="4" t="s">
        <v>68</v>
      </c>
      <c r="E80" s="4" t="n">
        <f aca="false">E79+1</f>
        <v>78</v>
      </c>
      <c r="F80" s="5" t="n">
        <v>18.42</v>
      </c>
      <c r="G80" s="6" t="n">
        <v>610</v>
      </c>
      <c r="H80" s="6" t="n">
        <v>645</v>
      </c>
      <c r="I80" s="6" t="n">
        <v>0</v>
      </c>
      <c r="J80" s="6" t="n">
        <v>20</v>
      </c>
      <c r="K80" s="6" t="n">
        <f aca="false">IF($F80="","",$F80*$H80)</f>
        <v>11880.9</v>
      </c>
      <c r="L80" s="6" t="n">
        <f aca="false">IFERROR(ROUND($F80*$G80,-1),"")</f>
        <v>11240</v>
      </c>
      <c r="M80" s="4"/>
      <c r="N80" s="5" t="n">
        <f aca="false">IF($F80="","",IF(N($I80)&gt;0,$F80,0))</f>
        <v>0</v>
      </c>
      <c r="O80" s="6" t="n">
        <f aca="false">IF($F80="","",N($N80)*N($I80))</f>
        <v>0</v>
      </c>
      <c r="P80" s="6" t="str">
        <f aca="false">IF(OR($C80=P$1,$C80="Titan Rocks"),$K80,"")</f>
        <v/>
      </c>
      <c r="Q80" s="6" t="str">
        <f aca="false">IF($C80=Q$1,$K80,"")</f>
        <v/>
      </c>
      <c r="R80" s="5" t="str">
        <f aca="false">IF($C80=Q$1,$F80,"")</f>
        <v/>
      </c>
      <c r="S80" s="6" t="str">
        <f aca="false">IF($C80=S$1,$K80,"")</f>
        <v/>
      </c>
      <c r="T80" s="5" t="str">
        <f aca="false">IF($C80=S$1,$F80,"")</f>
        <v/>
      </c>
      <c r="U80" s="6" t="str">
        <f aca="false">IF($C80=U$1,$K80,"")</f>
        <v/>
      </c>
      <c r="V80" s="5" t="str">
        <f aca="false">IF($C80=U$1,$F80,"")</f>
        <v/>
      </c>
      <c r="W80" s="6" t="str">
        <f aca="false">IF($C80=W$1,$K80,"")</f>
        <v/>
      </c>
      <c r="X80" s="5" t="str">
        <f aca="false">IF($C80=W$1,$F80,"")</f>
        <v/>
      </c>
      <c r="Y80" s="6" t="str">
        <f aca="false">IF($C80=Y$1,$K80,"")</f>
        <v/>
      </c>
      <c r="Z80" s="5" t="str">
        <f aca="false">IF($C80=Y$1,$F80,"")</f>
        <v/>
      </c>
      <c r="AA80" s="6" t="str">
        <f aca="false">IF($C80=AA$1,$K80,"")</f>
        <v/>
      </c>
      <c r="AB80" s="5" t="str">
        <f aca="false">IF($C80=AA$1,$F80,"")</f>
        <v/>
      </c>
      <c r="AC80" s="6" t="str">
        <f aca="false">IF($C80=AC$1,$K80,"")</f>
        <v/>
      </c>
      <c r="AD80" s="5" t="str">
        <f aca="false">IF($C80=AC$1,$F80,"")</f>
        <v/>
      </c>
      <c r="AE80" s="6" t="str">
        <f aca="false">IF($C80=AE$1,$K80,"")</f>
        <v/>
      </c>
      <c r="AF80" s="5" t="str">
        <f aca="false">IF($C80=AE$1,$F80,"")</f>
        <v/>
      </c>
      <c r="AG80" s="6" t="str">
        <f aca="false">IF($C80=AG$1,$K80,"")</f>
        <v/>
      </c>
      <c r="AH80" s="5" t="str">
        <f aca="false">IF($C80=AG$1,$F80,"")</f>
        <v/>
      </c>
      <c r="AI80" s="6" t="str">
        <f aca="false">IF($C80=AI$1,$K80,"")</f>
        <v/>
      </c>
      <c r="AJ80" s="5" t="str">
        <f aca="false">IF($C80=AI$1,$F80,"")</f>
        <v/>
      </c>
      <c r="AK80" s="6" t="str">
        <f aca="false">IF($C80=AK$1,$K80,"")</f>
        <v/>
      </c>
      <c r="AL80" s="5" t="str">
        <f aca="false">IF($C80=AK$1,$F80,"")</f>
        <v/>
      </c>
      <c r="AM80" s="6" t="str">
        <f aca="false">IF($C80=AM$1,$K80,"")</f>
        <v/>
      </c>
      <c r="AN80" s="5" t="str">
        <f aca="false">IF($C80=AM$1,$F80,"")</f>
        <v/>
      </c>
      <c r="AO80" s="6" t="n">
        <f aca="false">IF($C80=AO$1,$K80,"")</f>
        <v>11880.9</v>
      </c>
      <c r="AP80" s="5" t="n">
        <f aca="false">IF($C80=AO$1,$F80,"")</f>
        <v>18.42</v>
      </c>
      <c r="AQ80" s="5" t="n">
        <f aca="false">IF($F80="",0,IF($D80=AQ$1,$F80,0))</f>
        <v>0</v>
      </c>
      <c r="AR80" s="6" t="n">
        <f aca="false">IF($D80=AQ$1,N($K80)-N($L80)-N($O80),0)</f>
        <v>0</v>
      </c>
      <c r="AS80" s="5" t="n">
        <f aca="false">IF($F80="",0,IF($D80=AS$1,$F80,0))</f>
        <v>18.42</v>
      </c>
      <c r="AT80" s="6" t="n">
        <f aca="false">IF($D80=AS$1,N($K80)-N($L80)-N($O80),0)</f>
        <v>640.900000000002</v>
      </c>
      <c r="AU80" s="5" t="n">
        <f aca="false">IF(N($J80)&gt;0,N($F80),0)</f>
        <v>18.42</v>
      </c>
      <c r="AV80" s="6" t="n">
        <f aca="false">IF(N($J80)&gt;0,$F80*$J80,0)</f>
        <v>368.4</v>
      </c>
    </row>
    <row r="81" customFormat="false" ht="15" hidden="false" customHeight="false" outlineLevel="0" collapsed="false">
      <c r="A81" s="16" t="n">
        <v>46088</v>
      </c>
      <c r="B81" s="4" t="s">
        <v>232</v>
      </c>
      <c r="C81" s="4" t="s">
        <v>27</v>
      </c>
      <c r="D81" s="4" t="s">
        <v>67</v>
      </c>
      <c r="E81" s="4" t="n">
        <f aca="false">E80+1</f>
        <v>79</v>
      </c>
      <c r="F81" s="5" t="n">
        <v>20.71</v>
      </c>
      <c r="G81" s="6" t="n">
        <v>640</v>
      </c>
      <c r="H81" s="6" t="n">
        <v>645</v>
      </c>
      <c r="I81" s="6" t="n">
        <v>0</v>
      </c>
      <c r="J81" s="6" t="n">
        <v>20</v>
      </c>
      <c r="K81" s="6" t="n">
        <f aca="false">IF($F81="","",$F81*$H81)</f>
        <v>13357.95</v>
      </c>
      <c r="L81" s="6" t="n">
        <f aca="false">IFERROR(ROUND($F81*$G81,-1),"")</f>
        <v>13250</v>
      </c>
      <c r="M81" s="4"/>
      <c r="N81" s="5" t="n">
        <f aca="false">IF($F81="","",IF(N($I81)&gt;0,$F81,0))</f>
        <v>0</v>
      </c>
      <c r="O81" s="6" t="n">
        <f aca="false">IF($F81="","",N($N81)*N($I81))</f>
        <v>0</v>
      </c>
      <c r="P81" s="6" t="str">
        <f aca="false">IF(OR($C81=P$1,$C81="Titan Rocks"),$K81,"")</f>
        <v/>
      </c>
      <c r="Q81" s="6" t="str">
        <f aca="false">IF($C81=Q$1,$K81,"")</f>
        <v/>
      </c>
      <c r="R81" s="5" t="str">
        <f aca="false">IF($C81=Q$1,$F81,"")</f>
        <v/>
      </c>
      <c r="S81" s="6" t="str">
        <f aca="false">IF($C81=S$1,$K81,"")</f>
        <v/>
      </c>
      <c r="T81" s="5" t="str">
        <f aca="false">IF($C81=S$1,$F81,"")</f>
        <v/>
      </c>
      <c r="U81" s="6" t="str">
        <f aca="false">IF($C81=U$1,$K81,"")</f>
        <v/>
      </c>
      <c r="V81" s="5" t="str">
        <f aca="false">IF($C81=U$1,$F81,"")</f>
        <v/>
      </c>
      <c r="W81" s="6" t="str">
        <f aca="false">IF($C81=W$1,$K81,"")</f>
        <v/>
      </c>
      <c r="X81" s="5" t="str">
        <f aca="false">IF($C81=W$1,$F81,"")</f>
        <v/>
      </c>
      <c r="Y81" s="6" t="str">
        <f aca="false">IF($C81=Y$1,$K81,"")</f>
        <v/>
      </c>
      <c r="Z81" s="5" t="str">
        <f aca="false">IF($C81=Y$1,$F81,"")</f>
        <v/>
      </c>
      <c r="AA81" s="6" t="str">
        <f aca="false">IF($C81=AA$1,$K81,"")</f>
        <v/>
      </c>
      <c r="AB81" s="5" t="str">
        <f aca="false">IF($C81=AA$1,$F81,"")</f>
        <v/>
      </c>
      <c r="AC81" s="6" t="str">
        <f aca="false">IF($C81=AC$1,$K81,"")</f>
        <v/>
      </c>
      <c r="AD81" s="5" t="str">
        <f aca="false">IF($C81=AC$1,$F81,"")</f>
        <v/>
      </c>
      <c r="AE81" s="6" t="str">
        <f aca="false">IF($C81=AE$1,$K81,"")</f>
        <v/>
      </c>
      <c r="AF81" s="5" t="str">
        <f aca="false">IF($C81=AE$1,$F81,"")</f>
        <v/>
      </c>
      <c r="AG81" s="6" t="str">
        <f aca="false">IF($C81=AG$1,$K81,"")</f>
        <v/>
      </c>
      <c r="AH81" s="5" t="str">
        <f aca="false">IF($C81=AG$1,$F81,"")</f>
        <v/>
      </c>
      <c r="AI81" s="6" t="str">
        <f aca="false">IF($C81=AI$1,$K81,"")</f>
        <v/>
      </c>
      <c r="AJ81" s="5" t="str">
        <f aca="false">IF($C81=AI$1,$F81,"")</f>
        <v/>
      </c>
      <c r="AK81" s="6" t="str">
        <f aca="false">IF($C81=AK$1,$K81,"")</f>
        <v/>
      </c>
      <c r="AL81" s="5" t="str">
        <f aca="false">IF($C81=AK$1,$F81,"")</f>
        <v/>
      </c>
      <c r="AM81" s="6" t="str">
        <f aca="false">IF($C81=AM$1,$K81,"")</f>
        <v/>
      </c>
      <c r="AN81" s="5" t="str">
        <f aca="false">IF($C81=AM$1,$F81,"")</f>
        <v/>
      </c>
      <c r="AO81" s="6" t="n">
        <f aca="false">IF($C81=AO$1,$K81,"")</f>
        <v>13357.95</v>
      </c>
      <c r="AP81" s="5" t="n">
        <f aca="false">IF($C81=AO$1,$F81,"")</f>
        <v>20.71</v>
      </c>
      <c r="AQ81" s="5" t="n">
        <f aca="false">IF($F81="",0,IF($D81=AQ$1,$F81,0))</f>
        <v>20.71</v>
      </c>
      <c r="AR81" s="6" t="n">
        <f aca="false">IF($D81=AQ$1,N($K81)-N($L81)-N($O81),0)</f>
        <v>107.950000000001</v>
      </c>
      <c r="AS81" s="5" t="n">
        <f aca="false">IF($F81="",0,IF($D81=AS$1,$F81,0))</f>
        <v>0</v>
      </c>
      <c r="AT81" s="6" t="n">
        <f aca="false">IF($D81=AS$1,N($K81)-N($L81)-N($O81),0)</f>
        <v>0</v>
      </c>
      <c r="AU81" s="5" t="n">
        <f aca="false">IF(N($J81)&gt;0,N($F81),0)</f>
        <v>20.71</v>
      </c>
      <c r="AV81" s="6" t="n">
        <f aca="false">IF(N($J81)&gt;0,$F81*$J81,0)</f>
        <v>414.2</v>
      </c>
    </row>
    <row r="82" customFormat="false" ht="15" hidden="false" customHeight="false" outlineLevel="0" collapsed="false">
      <c r="A82" s="16" t="n">
        <v>46088</v>
      </c>
      <c r="B82" s="4" t="s">
        <v>232</v>
      </c>
      <c r="C82" s="4" t="s">
        <v>16</v>
      </c>
      <c r="D82" s="4" t="s">
        <v>68</v>
      </c>
      <c r="E82" s="4" t="n">
        <f aca="false">E81+1</f>
        <v>80</v>
      </c>
      <c r="F82" s="5" t="n">
        <v>34.5</v>
      </c>
      <c r="G82" s="6" t="n">
        <v>610</v>
      </c>
      <c r="H82" s="6" t="n">
        <v>900</v>
      </c>
      <c r="I82" s="6" t="n">
        <v>250</v>
      </c>
      <c r="J82" s="6" t="n">
        <v>20</v>
      </c>
      <c r="K82" s="6" t="n">
        <f aca="false">IF($F82="","",$F82*$H82)</f>
        <v>31050</v>
      </c>
      <c r="L82" s="6" t="n">
        <f aca="false">IFERROR(ROUND($F82*$G82,-1),"")</f>
        <v>21050</v>
      </c>
      <c r="M82" s="4" t="s">
        <v>36</v>
      </c>
      <c r="N82" s="5" t="n">
        <f aca="false">IF($F82="","",IF(N($I82)&gt;0,$F82,0))</f>
        <v>34.5</v>
      </c>
      <c r="O82" s="6" t="n">
        <f aca="false">IF($F82="","",N($N82)*N($I82))</f>
        <v>8625</v>
      </c>
      <c r="P82" s="6" t="str">
        <f aca="false">IF(OR($C82=P$1,$C82="Titan Rocks"),$K82,"")</f>
        <v/>
      </c>
      <c r="Q82" s="6" t="str">
        <f aca="false">IF($C82=Q$1,$K82,"")</f>
        <v/>
      </c>
      <c r="R82" s="5" t="str">
        <f aca="false">IF($C82=Q$1,$F82,"")</f>
        <v/>
      </c>
      <c r="S82" s="6" t="n">
        <f aca="false">IF($C82=S$1,$K82,"")</f>
        <v>31050</v>
      </c>
      <c r="T82" s="5" t="n">
        <f aca="false">IF($C82=S$1,$F82,"")</f>
        <v>34.5</v>
      </c>
      <c r="U82" s="6" t="str">
        <f aca="false">IF($C82=U$1,$K82,"")</f>
        <v/>
      </c>
      <c r="V82" s="5" t="str">
        <f aca="false">IF($C82=U$1,$F82,"")</f>
        <v/>
      </c>
      <c r="W82" s="6" t="str">
        <f aca="false">IF($C82=W$1,$K82,"")</f>
        <v/>
      </c>
      <c r="X82" s="5" t="str">
        <f aca="false">IF($C82=W$1,$F82,"")</f>
        <v/>
      </c>
      <c r="Y82" s="6" t="str">
        <f aca="false">IF($C82=Y$1,$K82,"")</f>
        <v/>
      </c>
      <c r="Z82" s="5" t="str">
        <f aca="false">IF($C82=Y$1,$F82,"")</f>
        <v/>
      </c>
      <c r="AA82" s="6" t="str">
        <f aca="false">IF($C82=AA$1,$K82,"")</f>
        <v/>
      </c>
      <c r="AB82" s="5" t="str">
        <f aca="false">IF($C82=AA$1,$F82,"")</f>
        <v/>
      </c>
      <c r="AC82" s="6" t="str">
        <f aca="false">IF($C82=AC$1,$K82,"")</f>
        <v/>
      </c>
      <c r="AD82" s="5" t="str">
        <f aca="false">IF($C82=AC$1,$F82,"")</f>
        <v/>
      </c>
      <c r="AE82" s="6" t="str">
        <f aca="false">IF($C82=AE$1,$K82,"")</f>
        <v/>
      </c>
      <c r="AF82" s="5" t="str">
        <f aca="false">IF($C82=AE$1,$F82,"")</f>
        <v/>
      </c>
      <c r="AG82" s="6" t="str">
        <f aca="false">IF($C82=AG$1,$K82,"")</f>
        <v/>
      </c>
      <c r="AH82" s="5" t="str">
        <f aca="false">IF($C82=AG$1,$F82,"")</f>
        <v/>
      </c>
      <c r="AI82" s="6" t="str">
        <f aca="false">IF($C82=AI$1,$K82,"")</f>
        <v/>
      </c>
      <c r="AJ82" s="5" t="str">
        <f aca="false">IF($C82=AI$1,$F82,"")</f>
        <v/>
      </c>
      <c r="AK82" s="6" t="str">
        <f aca="false">IF($C82=AK$1,$K82,"")</f>
        <v/>
      </c>
      <c r="AL82" s="5" t="str">
        <f aca="false">IF($C82=AK$1,$F82,"")</f>
        <v/>
      </c>
      <c r="AM82" s="6" t="str">
        <f aca="false">IF($C82=AM$1,$K82,"")</f>
        <v/>
      </c>
      <c r="AN82" s="5" t="str">
        <f aca="false">IF($C82=AM$1,$F82,"")</f>
        <v/>
      </c>
      <c r="AO82" s="6" t="str">
        <f aca="false">IF($C82=AO$1,$K82,"")</f>
        <v/>
      </c>
      <c r="AP82" s="5" t="str">
        <f aca="false">IF($C82=AO$1,$F82,"")</f>
        <v/>
      </c>
      <c r="AQ82" s="5" t="n">
        <f aca="false">IF($F82="",0,IF($D82=AQ$1,$F82,0))</f>
        <v>0</v>
      </c>
      <c r="AR82" s="6" t="n">
        <f aca="false">IF($D82=AQ$1,N($K82)-N($L82)-N($O82),0)</f>
        <v>0</v>
      </c>
      <c r="AS82" s="5" t="n">
        <f aca="false">IF($F82="",0,IF($D82=AS$1,$F82,0))</f>
        <v>34.5</v>
      </c>
      <c r="AT82" s="6" t="n">
        <f aca="false">IF($D82=AS$1,N($K82)-N($L82)-N($O82),0)</f>
        <v>1375</v>
      </c>
      <c r="AU82" s="5" t="n">
        <f aca="false">IF(N($J82)&gt;0,N($F82),0)</f>
        <v>34.5</v>
      </c>
      <c r="AV82" s="6" t="n">
        <f aca="false">IF(N($J82)&gt;0,$F82*$J82,0)</f>
        <v>690</v>
      </c>
    </row>
    <row r="83" customFormat="false" ht="15" hidden="false" customHeight="false" outlineLevel="0" collapsed="false">
      <c r="A83" s="16" t="n">
        <v>46088</v>
      </c>
      <c r="B83" s="4" t="s">
        <v>232</v>
      </c>
      <c r="C83" s="4" t="s">
        <v>27</v>
      </c>
      <c r="D83" s="4" t="s">
        <v>68</v>
      </c>
      <c r="E83" s="4" t="n">
        <f aca="false">E82+1</f>
        <v>81</v>
      </c>
      <c r="F83" s="5" t="n">
        <v>20.59</v>
      </c>
      <c r="G83" s="6" t="n">
        <v>610</v>
      </c>
      <c r="H83" s="6" t="n">
        <v>645</v>
      </c>
      <c r="I83" s="6" t="n">
        <v>0</v>
      </c>
      <c r="J83" s="6" t="n">
        <v>20</v>
      </c>
      <c r="K83" s="6" t="n">
        <f aca="false">IF($F83="","",$F83*$H83)</f>
        <v>13280.55</v>
      </c>
      <c r="L83" s="6" t="n">
        <f aca="false">IFERROR(ROUND($F83*$G83,-1),"")</f>
        <v>12560</v>
      </c>
      <c r="M83" s="4"/>
      <c r="N83" s="5" t="n">
        <f aca="false">IF($F83="","",IF(N($I83)&gt;0,$F83,0))</f>
        <v>0</v>
      </c>
      <c r="O83" s="6" t="n">
        <f aca="false">IF($F83="","",N($N83)*N($I83))</f>
        <v>0</v>
      </c>
      <c r="P83" s="6" t="str">
        <f aca="false">IF(OR($C83=P$1,$C83="Titan Rocks"),$K83,"")</f>
        <v/>
      </c>
      <c r="Q83" s="6" t="str">
        <f aca="false">IF($C83=Q$1,$K83,"")</f>
        <v/>
      </c>
      <c r="R83" s="5" t="str">
        <f aca="false">IF($C83=Q$1,$F83,"")</f>
        <v/>
      </c>
      <c r="S83" s="6" t="str">
        <f aca="false">IF($C83=S$1,$K83,"")</f>
        <v/>
      </c>
      <c r="T83" s="5" t="str">
        <f aca="false">IF($C83=S$1,$F83,"")</f>
        <v/>
      </c>
      <c r="U83" s="6" t="str">
        <f aca="false">IF($C83=U$1,$K83,"")</f>
        <v/>
      </c>
      <c r="V83" s="5" t="str">
        <f aca="false">IF($C83=U$1,$F83,"")</f>
        <v/>
      </c>
      <c r="W83" s="6" t="str">
        <f aca="false">IF($C83=W$1,$K83,"")</f>
        <v/>
      </c>
      <c r="X83" s="5" t="str">
        <f aca="false">IF($C83=W$1,$F83,"")</f>
        <v/>
      </c>
      <c r="Y83" s="6" t="str">
        <f aca="false">IF($C83=Y$1,$K83,"")</f>
        <v/>
      </c>
      <c r="Z83" s="5" t="str">
        <f aca="false">IF($C83=Y$1,$F83,"")</f>
        <v/>
      </c>
      <c r="AA83" s="6" t="str">
        <f aca="false">IF($C83=AA$1,$K83,"")</f>
        <v/>
      </c>
      <c r="AB83" s="5" t="str">
        <f aca="false">IF($C83=AA$1,$F83,"")</f>
        <v/>
      </c>
      <c r="AC83" s="6" t="str">
        <f aca="false">IF($C83=AC$1,$K83,"")</f>
        <v/>
      </c>
      <c r="AD83" s="5" t="str">
        <f aca="false">IF($C83=AC$1,$F83,"")</f>
        <v/>
      </c>
      <c r="AE83" s="6" t="str">
        <f aca="false">IF($C83=AE$1,$K83,"")</f>
        <v/>
      </c>
      <c r="AF83" s="5" t="str">
        <f aca="false">IF($C83=AE$1,$F83,"")</f>
        <v/>
      </c>
      <c r="AG83" s="6" t="str">
        <f aca="false">IF($C83=AG$1,$K83,"")</f>
        <v/>
      </c>
      <c r="AH83" s="5" t="str">
        <f aca="false">IF($C83=AG$1,$F83,"")</f>
        <v/>
      </c>
      <c r="AI83" s="6" t="str">
        <f aca="false">IF($C83=AI$1,$K83,"")</f>
        <v/>
      </c>
      <c r="AJ83" s="5" t="str">
        <f aca="false">IF($C83=AI$1,$F83,"")</f>
        <v/>
      </c>
      <c r="AK83" s="6" t="str">
        <f aca="false">IF($C83=AK$1,$K83,"")</f>
        <v/>
      </c>
      <c r="AL83" s="5" t="str">
        <f aca="false">IF($C83=AK$1,$F83,"")</f>
        <v/>
      </c>
      <c r="AM83" s="6" t="str">
        <f aca="false">IF($C83=AM$1,$K83,"")</f>
        <v/>
      </c>
      <c r="AN83" s="5" t="str">
        <f aca="false">IF($C83=AM$1,$F83,"")</f>
        <v/>
      </c>
      <c r="AO83" s="6" t="n">
        <f aca="false">IF($C83=AO$1,$K83,"")</f>
        <v>13280.55</v>
      </c>
      <c r="AP83" s="5" t="n">
        <f aca="false">IF($C83=AO$1,$F83,"")</f>
        <v>20.59</v>
      </c>
      <c r="AQ83" s="5" t="n">
        <f aca="false">IF($F83="",0,IF($D83=AQ$1,$F83,0))</f>
        <v>0</v>
      </c>
      <c r="AR83" s="6" t="n">
        <f aca="false">IF($D83=AQ$1,N($K83)-N($L83)-N($O83),0)</f>
        <v>0</v>
      </c>
      <c r="AS83" s="5" t="n">
        <f aca="false">IF($F83="",0,IF($D83=AS$1,$F83,0))</f>
        <v>20.59</v>
      </c>
      <c r="AT83" s="6" t="n">
        <f aca="false">IF($D83=AS$1,N($K83)-N($L83)-N($O83),0)</f>
        <v>720.549999999999</v>
      </c>
      <c r="AU83" s="5" t="n">
        <f aca="false">IF(N($J83)&gt;0,N($F83),0)</f>
        <v>20.59</v>
      </c>
      <c r="AV83" s="6" t="n">
        <f aca="false">IF(N($J83)&gt;0,$F83*$J83,0)</f>
        <v>411.8</v>
      </c>
    </row>
    <row r="84" customFormat="false" ht="15" hidden="false" customHeight="false" outlineLevel="0" collapsed="false">
      <c r="A84" s="16" t="n">
        <v>46088</v>
      </c>
      <c r="B84" s="4" t="s">
        <v>232</v>
      </c>
      <c r="C84" s="4" t="s">
        <v>233</v>
      </c>
      <c r="D84" s="4" t="s">
        <v>67</v>
      </c>
      <c r="E84" s="4" t="n">
        <f aca="false">E83+1</f>
        <v>82</v>
      </c>
      <c r="F84" s="5" t="n">
        <v>30.22</v>
      </c>
      <c r="G84" s="6" t="n">
        <v>640</v>
      </c>
      <c r="H84" s="6" t="n">
        <v>650</v>
      </c>
      <c r="I84" s="6" t="n">
        <v>0</v>
      </c>
      <c r="J84" s="6" t="n">
        <v>20</v>
      </c>
      <c r="K84" s="6" t="n">
        <f aca="false">IF($F84="","",$F84*$H84)</f>
        <v>19643</v>
      </c>
      <c r="L84" s="6" t="n">
        <f aca="false">IFERROR(ROUND($F84*$G84,-1),"")</f>
        <v>19340</v>
      </c>
      <c r="M84" s="4"/>
      <c r="N84" s="5" t="n">
        <f aca="false">IF($F84="","",IF(N($I84)&gt;0,$F84,0))</f>
        <v>0</v>
      </c>
      <c r="O84" s="6" t="n">
        <f aca="false">IF($F84="","",N($N84)*N($I84))</f>
        <v>0</v>
      </c>
      <c r="P84" s="6" t="n">
        <f aca="false">IF(OR($C84=P$1,$C84="Titan Rocks"),$K84,"")</f>
        <v>19643</v>
      </c>
      <c r="Q84" s="6" t="str">
        <f aca="false">IF($C84=Q$1,$K84,"")</f>
        <v/>
      </c>
      <c r="R84" s="5" t="str">
        <f aca="false">IF($C84=Q$1,$F84,"")</f>
        <v/>
      </c>
      <c r="S84" s="6" t="str">
        <f aca="false">IF($C84=S$1,$K84,"")</f>
        <v/>
      </c>
      <c r="T84" s="5" t="str">
        <f aca="false">IF($C84=S$1,$F84,"")</f>
        <v/>
      </c>
      <c r="U84" s="6" t="str">
        <f aca="false">IF($C84=U$1,$K84,"")</f>
        <v/>
      </c>
      <c r="V84" s="5" t="str">
        <f aca="false">IF($C84=U$1,$F84,"")</f>
        <v/>
      </c>
      <c r="W84" s="6" t="str">
        <f aca="false">IF($C84=W$1,$K84,"")</f>
        <v/>
      </c>
      <c r="X84" s="5" t="str">
        <f aca="false">IF($C84=W$1,$F84,"")</f>
        <v/>
      </c>
      <c r="Y84" s="6" t="str">
        <f aca="false">IF($C84=Y$1,$K84,"")</f>
        <v/>
      </c>
      <c r="Z84" s="5" t="str">
        <f aca="false">IF($C84=Y$1,$F84,"")</f>
        <v/>
      </c>
      <c r="AA84" s="6" t="str">
        <f aca="false">IF($C84=AA$1,$K84,"")</f>
        <v/>
      </c>
      <c r="AB84" s="5" t="str">
        <f aca="false">IF($C84=AA$1,$F84,"")</f>
        <v/>
      </c>
      <c r="AC84" s="6" t="str">
        <f aca="false">IF($C84=AC$1,$K84,"")</f>
        <v/>
      </c>
      <c r="AD84" s="5" t="str">
        <f aca="false">IF($C84=AC$1,$F84,"")</f>
        <v/>
      </c>
      <c r="AE84" s="6" t="str">
        <f aca="false">IF($C84=AE$1,$K84,"")</f>
        <v/>
      </c>
      <c r="AF84" s="5" t="str">
        <f aca="false">IF($C84=AE$1,$F84,"")</f>
        <v/>
      </c>
      <c r="AG84" s="6" t="str">
        <f aca="false">IF($C84=AG$1,$K84,"")</f>
        <v/>
      </c>
      <c r="AH84" s="5" t="str">
        <f aca="false">IF($C84=AG$1,$F84,"")</f>
        <v/>
      </c>
      <c r="AI84" s="6" t="str">
        <f aca="false">IF($C84=AI$1,$K84,"")</f>
        <v/>
      </c>
      <c r="AJ84" s="5" t="str">
        <f aca="false">IF($C84=AI$1,$F84,"")</f>
        <v/>
      </c>
      <c r="AK84" s="6" t="str">
        <f aca="false">IF($C84=AK$1,$K84,"")</f>
        <v/>
      </c>
      <c r="AL84" s="5" t="str">
        <f aca="false">IF($C84=AK$1,$F84,"")</f>
        <v/>
      </c>
      <c r="AM84" s="6" t="str">
        <f aca="false">IF($C84=AM$1,$K84,"")</f>
        <v/>
      </c>
      <c r="AN84" s="5" t="str">
        <f aca="false">IF($C84=AM$1,$F84,"")</f>
        <v/>
      </c>
      <c r="AO84" s="6" t="str">
        <f aca="false">IF($C84=AO$1,$K84,"")</f>
        <v/>
      </c>
      <c r="AP84" s="5" t="str">
        <f aca="false">IF($C84=AO$1,$F84,"")</f>
        <v/>
      </c>
      <c r="AQ84" s="5" t="n">
        <f aca="false">IF($F84="",0,IF($D84=AQ$1,$F84,0))</f>
        <v>30.22</v>
      </c>
      <c r="AR84" s="6" t="n">
        <f aca="false">IF($D84=AQ$1,N($K84)-N($L84)-N($O84),0)</f>
        <v>303</v>
      </c>
      <c r="AS84" s="5" t="n">
        <f aca="false">IF($F84="",0,IF($D84=AS$1,$F84,0))</f>
        <v>0</v>
      </c>
      <c r="AT84" s="6" t="n">
        <f aca="false">IF($D84=AS$1,N($K84)-N($L84)-N($O84),0)</f>
        <v>0</v>
      </c>
      <c r="AU84" s="5" t="n">
        <f aca="false">IF(N($J84)&gt;0,N($F84),0)</f>
        <v>30.22</v>
      </c>
      <c r="AV84" s="6" t="n">
        <f aca="false">IF(N($J84)&gt;0,$F84*$J84,0)</f>
        <v>604.4</v>
      </c>
    </row>
    <row r="85" customFormat="false" ht="15" hidden="false" customHeight="false" outlineLevel="0" collapsed="false">
      <c r="A85" s="16" t="n">
        <v>46088</v>
      </c>
      <c r="B85" s="4" t="s">
        <v>232</v>
      </c>
      <c r="C85" s="4" t="s">
        <v>27</v>
      </c>
      <c r="D85" s="4" t="s">
        <v>68</v>
      </c>
      <c r="E85" s="4" t="n">
        <f aca="false">E84+1</f>
        <v>83</v>
      </c>
      <c r="F85" s="5" t="n">
        <v>20.37</v>
      </c>
      <c r="G85" s="6" t="n">
        <v>610</v>
      </c>
      <c r="H85" s="6" t="n">
        <v>645</v>
      </c>
      <c r="I85" s="6" t="n">
        <v>0</v>
      </c>
      <c r="J85" s="6" t="n">
        <v>20</v>
      </c>
      <c r="K85" s="6" t="n">
        <f aca="false">IF($F85="","",$F85*$H85)</f>
        <v>13138.65</v>
      </c>
      <c r="L85" s="6" t="n">
        <f aca="false">IFERROR(ROUND($F85*$G85,-1),"")</f>
        <v>12430</v>
      </c>
      <c r="M85" s="4"/>
      <c r="N85" s="5" t="n">
        <f aca="false">IF($F85="","",IF(N($I85)&gt;0,$F85,0))</f>
        <v>0</v>
      </c>
      <c r="O85" s="6" t="n">
        <f aca="false">IF($F85="","",N($N85)*N($I85))</f>
        <v>0</v>
      </c>
      <c r="P85" s="6" t="str">
        <f aca="false">IF(OR($C85=P$1,$C85="Titan Rocks"),$K85,"")</f>
        <v/>
      </c>
      <c r="Q85" s="6" t="str">
        <f aca="false">IF($C85=Q$1,$K85,"")</f>
        <v/>
      </c>
      <c r="R85" s="5" t="str">
        <f aca="false">IF($C85=Q$1,$F85,"")</f>
        <v/>
      </c>
      <c r="S85" s="6" t="str">
        <f aca="false">IF($C85=S$1,$K85,"")</f>
        <v/>
      </c>
      <c r="T85" s="5" t="str">
        <f aca="false">IF($C85=S$1,$F85,"")</f>
        <v/>
      </c>
      <c r="U85" s="6" t="str">
        <f aca="false">IF($C85=U$1,$K85,"")</f>
        <v/>
      </c>
      <c r="V85" s="5" t="str">
        <f aca="false">IF($C85=U$1,$F85,"")</f>
        <v/>
      </c>
      <c r="W85" s="6" t="str">
        <f aca="false">IF($C85=W$1,$K85,"")</f>
        <v/>
      </c>
      <c r="X85" s="5" t="str">
        <f aca="false">IF($C85=W$1,$F85,"")</f>
        <v/>
      </c>
      <c r="Y85" s="6" t="str">
        <f aca="false">IF($C85=Y$1,$K85,"")</f>
        <v/>
      </c>
      <c r="Z85" s="5" t="str">
        <f aca="false">IF($C85=Y$1,$F85,"")</f>
        <v/>
      </c>
      <c r="AA85" s="6" t="str">
        <f aca="false">IF($C85=AA$1,$K85,"")</f>
        <v/>
      </c>
      <c r="AB85" s="5" t="str">
        <f aca="false">IF($C85=AA$1,$F85,"")</f>
        <v/>
      </c>
      <c r="AC85" s="6" t="str">
        <f aca="false">IF($C85=AC$1,$K85,"")</f>
        <v/>
      </c>
      <c r="AD85" s="5" t="str">
        <f aca="false">IF($C85=AC$1,$F85,"")</f>
        <v/>
      </c>
      <c r="AE85" s="6" t="str">
        <f aca="false">IF($C85=AE$1,$K85,"")</f>
        <v/>
      </c>
      <c r="AF85" s="5" t="str">
        <f aca="false">IF($C85=AE$1,$F85,"")</f>
        <v/>
      </c>
      <c r="AG85" s="6" t="str">
        <f aca="false">IF($C85=AG$1,$K85,"")</f>
        <v/>
      </c>
      <c r="AH85" s="5" t="str">
        <f aca="false">IF($C85=AG$1,$F85,"")</f>
        <v/>
      </c>
      <c r="AI85" s="6" t="str">
        <f aca="false">IF($C85=AI$1,$K85,"")</f>
        <v/>
      </c>
      <c r="AJ85" s="5" t="str">
        <f aca="false">IF($C85=AI$1,$F85,"")</f>
        <v/>
      </c>
      <c r="AK85" s="6" t="str">
        <f aca="false">IF($C85=AK$1,$K85,"")</f>
        <v/>
      </c>
      <c r="AL85" s="5" t="str">
        <f aca="false">IF($C85=AK$1,$F85,"")</f>
        <v/>
      </c>
      <c r="AM85" s="6" t="str">
        <f aca="false">IF($C85=AM$1,$K85,"")</f>
        <v/>
      </c>
      <c r="AN85" s="5" t="str">
        <f aca="false">IF($C85=AM$1,$F85,"")</f>
        <v/>
      </c>
      <c r="AO85" s="6" t="n">
        <f aca="false">IF($C85=AO$1,$K85,"")</f>
        <v>13138.65</v>
      </c>
      <c r="AP85" s="5" t="n">
        <f aca="false">IF($C85=AO$1,$F85,"")</f>
        <v>20.37</v>
      </c>
      <c r="AQ85" s="5" t="n">
        <f aca="false">IF($F85="",0,IF($D85=AQ$1,$F85,0))</f>
        <v>0</v>
      </c>
      <c r="AR85" s="6" t="n">
        <f aca="false">IF($D85=AQ$1,N($K85)-N($L85)-N($O85),0)</f>
        <v>0</v>
      </c>
      <c r="AS85" s="5" t="n">
        <f aca="false">IF($F85="",0,IF($D85=AS$1,$F85,0))</f>
        <v>20.37</v>
      </c>
      <c r="AT85" s="6" t="n">
        <f aca="false">IF($D85=AS$1,N($K85)-N($L85)-N($O85),0)</f>
        <v>708.650000000002</v>
      </c>
      <c r="AU85" s="5" t="n">
        <f aca="false">IF(N($J85)&gt;0,N($F85),0)</f>
        <v>20.37</v>
      </c>
      <c r="AV85" s="6" t="n">
        <f aca="false">IF(N($J85)&gt;0,$F85*$J85,0)</f>
        <v>407.4</v>
      </c>
    </row>
    <row r="86" customFormat="false" ht="15" hidden="false" customHeight="false" outlineLevel="0" collapsed="false">
      <c r="A86" s="16" t="n">
        <v>46088</v>
      </c>
      <c r="B86" s="4" t="s">
        <v>232</v>
      </c>
      <c r="C86" s="4" t="s">
        <v>27</v>
      </c>
      <c r="D86" s="4" t="s">
        <v>68</v>
      </c>
      <c r="E86" s="4" t="n">
        <f aca="false">E85+1</f>
        <v>84</v>
      </c>
      <c r="F86" s="5" t="n">
        <v>33.85</v>
      </c>
      <c r="G86" s="6" t="n">
        <v>610</v>
      </c>
      <c r="H86" s="6" t="n">
        <v>645</v>
      </c>
      <c r="I86" s="6" t="n">
        <v>0</v>
      </c>
      <c r="J86" s="6" t="n">
        <v>20</v>
      </c>
      <c r="K86" s="6" t="n">
        <f aca="false">IF($F86="","",$F86*$H86)</f>
        <v>21833.25</v>
      </c>
      <c r="L86" s="6" t="n">
        <f aca="false">IFERROR(ROUND($F86*$G86,-1),"")</f>
        <v>20650</v>
      </c>
      <c r="M86" s="4"/>
      <c r="N86" s="5" t="n">
        <f aca="false">IF($F86="","",IF(N($I86)&gt;0,$F86,0))</f>
        <v>0</v>
      </c>
      <c r="O86" s="6" t="n">
        <f aca="false">IF($F86="","",N($N86)*N($I86))</f>
        <v>0</v>
      </c>
      <c r="P86" s="6" t="str">
        <f aca="false">IF(OR($C86=P$1,$C86="Titan Rocks"),$K86,"")</f>
        <v/>
      </c>
      <c r="Q86" s="6" t="str">
        <f aca="false">IF($C86=Q$1,$K86,"")</f>
        <v/>
      </c>
      <c r="R86" s="5" t="str">
        <f aca="false">IF($C86=Q$1,$F86,"")</f>
        <v/>
      </c>
      <c r="S86" s="6" t="str">
        <f aca="false">IF($C86=S$1,$K86,"")</f>
        <v/>
      </c>
      <c r="T86" s="5" t="str">
        <f aca="false">IF($C86=S$1,$F86,"")</f>
        <v/>
      </c>
      <c r="U86" s="6" t="str">
        <f aca="false">IF($C86=U$1,$K86,"")</f>
        <v/>
      </c>
      <c r="V86" s="5" t="str">
        <f aca="false">IF($C86=U$1,$F86,"")</f>
        <v/>
      </c>
      <c r="W86" s="6" t="str">
        <f aca="false">IF($C86=W$1,$K86,"")</f>
        <v/>
      </c>
      <c r="X86" s="5" t="str">
        <f aca="false">IF($C86=W$1,$F86,"")</f>
        <v/>
      </c>
      <c r="Y86" s="6" t="str">
        <f aca="false">IF($C86=Y$1,$K86,"")</f>
        <v/>
      </c>
      <c r="Z86" s="5" t="str">
        <f aca="false">IF($C86=Y$1,$F86,"")</f>
        <v/>
      </c>
      <c r="AA86" s="6" t="str">
        <f aca="false">IF($C86=AA$1,$K86,"")</f>
        <v/>
      </c>
      <c r="AB86" s="5" t="str">
        <f aca="false">IF($C86=AA$1,$F86,"")</f>
        <v/>
      </c>
      <c r="AC86" s="6" t="str">
        <f aca="false">IF($C86=AC$1,$K86,"")</f>
        <v/>
      </c>
      <c r="AD86" s="5" t="str">
        <f aca="false">IF($C86=AC$1,$F86,"")</f>
        <v/>
      </c>
      <c r="AE86" s="6" t="str">
        <f aca="false">IF($C86=AE$1,$K86,"")</f>
        <v/>
      </c>
      <c r="AF86" s="5" t="str">
        <f aca="false">IF($C86=AE$1,$F86,"")</f>
        <v/>
      </c>
      <c r="AG86" s="6" t="str">
        <f aca="false">IF($C86=AG$1,$K86,"")</f>
        <v/>
      </c>
      <c r="AH86" s="5" t="str">
        <f aca="false">IF($C86=AG$1,$F86,"")</f>
        <v/>
      </c>
      <c r="AI86" s="6" t="str">
        <f aca="false">IF($C86=AI$1,$K86,"")</f>
        <v/>
      </c>
      <c r="AJ86" s="5" t="str">
        <f aca="false">IF($C86=AI$1,$F86,"")</f>
        <v/>
      </c>
      <c r="AK86" s="6" t="str">
        <f aca="false">IF($C86=AK$1,$K86,"")</f>
        <v/>
      </c>
      <c r="AL86" s="5" t="str">
        <f aca="false">IF($C86=AK$1,$F86,"")</f>
        <v/>
      </c>
      <c r="AM86" s="6" t="str">
        <f aca="false">IF($C86=AM$1,$K86,"")</f>
        <v/>
      </c>
      <c r="AN86" s="5" t="str">
        <f aca="false">IF($C86=AM$1,$F86,"")</f>
        <v/>
      </c>
      <c r="AO86" s="6" t="n">
        <f aca="false">IF($C86=AO$1,$K86,"")</f>
        <v>21833.25</v>
      </c>
      <c r="AP86" s="5" t="n">
        <f aca="false">IF($C86=AO$1,$F86,"")</f>
        <v>33.85</v>
      </c>
      <c r="AQ86" s="5" t="n">
        <f aca="false">IF($F86="",0,IF($D86=AQ$1,$F86,0))</f>
        <v>0</v>
      </c>
      <c r="AR86" s="6" t="n">
        <f aca="false">IF($D86=AQ$1,N($K86)-N($L86)-N($O86),0)</f>
        <v>0</v>
      </c>
      <c r="AS86" s="5" t="n">
        <f aca="false">IF($F86="",0,IF($D86=AS$1,$F86,0))</f>
        <v>33.85</v>
      </c>
      <c r="AT86" s="6" t="n">
        <f aca="false">IF($D86=AS$1,N($K86)-N($L86)-N($O86),0)</f>
        <v>1183.25</v>
      </c>
      <c r="AU86" s="5" t="n">
        <f aca="false">IF(N($J86)&gt;0,N($F86),0)</f>
        <v>33.85</v>
      </c>
      <c r="AV86" s="6" t="n">
        <f aca="false">IF(N($J86)&gt;0,$F86*$J86,0)</f>
        <v>677</v>
      </c>
    </row>
    <row r="87" customFormat="false" ht="15" hidden="false" customHeight="false" outlineLevel="0" collapsed="false">
      <c r="A87" s="16" t="n">
        <v>46088</v>
      </c>
      <c r="B87" s="4" t="s">
        <v>232</v>
      </c>
      <c r="C87" s="4" t="s">
        <v>27</v>
      </c>
      <c r="D87" s="4" t="s">
        <v>67</v>
      </c>
      <c r="E87" s="4" t="n">
        <f aca="false">E86+1</f>
        <v>85</v>
      </c>
      <c r="F87" s="5" t="n">
        <v>19.16</v>
      </c>
      <c r="G87" s="6" t="n">
        <v>640</v>
      </c>
      <c r="H87" s="6" t="n">
        <v>645</v>
      </c>
      <c r="I87" s="6" t="n">
        <v>0</v>
      </c>
      <c r="J87" s="6" t="n">
        <v>20</v>
      </c>
      <c r="K87" s="6" t="n">
        <f aca="false">IF($F87="","",$F87*$H87)</f>
        <v>12358.2</v>
      </c>
      <c r="L87" s="6" t="n">
        <f aca="false">IFERROR(ROUND($F87*$G87,-1),"")</f>
        <v>12260</v>
      </c>
      <c r="M87" s="4"/>
      <c r="N87" s="5" t="n">
        <f aca="false">IF($F87="","",IF(N($I87)&gt;0,$F87,0))</f>
        <v>0</v>
      </c>
      <c r="O87" s="6" t="n">
        <f aca="false">IF($F87="","",N($N87)*N($I87))</f>
        <v>0</v>
      </c>
      <c r="P87" s="6" t="str">
        <f aca="false">IF(OR($C87=P$1,$C87="Titan Rocks"),$K87,"")</f>
        <v/>
      </c>
      <c r="Q87" s="6" t="str">
        <f aca="false">IF($C87=Q$1,$K87,"")</f>
        <v/>
      </c>
      <c r="R87" s="5" t="str">
        <f aca="false">IF($C87=Q$1,$F87,"")</f>
        <v/>
      </c>
      <c r="S87" s="6" t="str">
        <f aca="false">IF($C87=S$1,$K87,"")</f>
        <v/>
      </c>
      <c r="T87" s="5" t="str">
        <f aca="false">IF($C87=S$1,$F87,"")</f>
        <v/>
      </c>
      <c r="U87" s="6" t="str">
        <f aca="false">IF($C87=U$1,$K87,"")</f>
        <v/>
      </c>
      <c r="V87" s="5" t="str">
        <f aca="false">IF($C87=U$1,$F87,"")</f>
        <v/>
      </c>
      <c r="W87" s="6" t="str">
        <f aca="false">IF($C87=W$1,$K87,"")</f>
        <v/>
      </c>
      <c r="X87" s="5" t="str">
        <f aca="false">IF($C87=W$1,$F87,"")</f>
        <v/>
      </c>
      <c r="Y87" s="6" t="str">
        <f aca="false">IF($C87=Y$1,$K87,"")</f>
        <v/>
      </c>
      <c r="Z87" s="5" t="str">
        <f aca="false">IF($C87=Y$1,$F87,"")</f>
        <v/>
      </c>
      <c r="AA87" s="6" t="str">
        <f aca="false">IF($C87=AA$1,$K87,"")</f>
        <v/>
      </c>
      <c r="AB87" s="5" t="str">
        <f aca="false">IF($C87=AA$1,$F87,"")</f>
        <v/>
      </c>
      <c r="AC87" s="6" t="str">
        <f aca="false">IF($C87=AC$1,$K87,"")</f>
        <v/>
      </c>
      <c r="AD87" s="5" t="str">
        <f aca="false">IF($C87=AC$1,$F87,"")</f>
        <v/>
      </c>
      <c r="AE87" s="6" t="str">
        <f aca="false">IF($C87=AE$1,$K87,"")</f>
        <v/>
      </c>
      <c r="AF87" s="5" t="str">
        <f aca="false">IF($C87=AE$1,$F87,"")</f>
        <v/>
      </c>
      <c r="AG87" s="6" t="str">
        <f aca="false">IF($C87=AG$1,$K87,"")</f>
        <v/>
      </c>
      <c r="AH87" s="5" t="str">
        <f aca="false">IF($C87=AG$1,$F87,"")</f>
        <v/>
      </c>
      <c r="AI87" s="6" t="str">
        <f aca="false">IF($C87=AI$1,$K87,"")</f>
        <v/>
      </c>
      <c r="AJ87" s="5" t="str">
        <f aca="false">IF($C87=AI$1,$F87,"")</f>
        <v/>
      </c>
      <c r="AK87" s="6" t="str">
        <f aca="false">IF($C87=AK$1,$K87,"")</f>
        <v/>
      </c>
      <c r="AL87" s="5" t="str">
        <f aca="false">IF($C87=AK$1,$F87,"")</f>
        <v/>
      </c>
      <c r="AM87" s="6" t="str">
        <f aca="false">IF($C87=AM$1,$K87,"")</f>
        <v/>
      </c>
      <c r="AN87" s="5" t="str">
        <f aca="false">IF($C87=AM$1,$F87,"")</f>
        <v/>
      </c>
      <c r="AO87" s="6" t="n">
        <f aca="false">IF($C87=AO$1,$K87,"")</f>
        <v>12358.2</v>
      </c>
      <c r="AP87" s="5" t="n">
        <f aca="false">IF($C87=AO$1,$F87,"")</f>
        <v>19.16</v>
      </c>
      <c r="AQ87" s="5" t="n">
        <f aca="false">IF($F87="",0,IF($D87=AQ$1,$F87,0))</f>
        <v>19.16</v>
      </c>
      <c r="AR87" s="6" t="n">
        <f aca="false">IF($D87=AQ$1,N($K87)-N($L87)-N($O87),0)</f>
        <v>98.2000000000007</v>
      </c>
      <c r="AS87" s="5" t="n">
        <f aca="false">IF($F87="",0,IF($D87=AS$1,$F87,0))</f>
        <v>0</v>
      </c>
      <c r="AT87" s="6" t="n">
        <f aca="false">IF($D87=AS$1,N($K87)-N($L87)-N($O87),0)</f>
        <v>0</v>
      </c>
      <c r="AU87" s="5" t="n">
        <f aca="false">IF(N($J87)&gt;0,N($F87),0)</f>
        <v>19.16</v>
      </c>
      <c r="AV87" s="6" t="n">
        <f aca="false">IF(N($J87)&gt;0,$F87*$J87,0)</f>
        <v>383.2</v>
      </c>
    </row>
    <row r="88" customFormat="false" ht="15" hidden="false" customHeight="false" outlineLevel="0" collapsed="false">
      <c r="A88" s="16" t="n">
        <v>46088</v>
      </c>
      <c r="B88" s="4" t="s">
        <v>232</v>
      </c>
      <c r="C88" s="4" t="s">
        <v>27</v>
      </c>
      <c r="D88" s="4" t="s">
        <v>68</v>
      </c>
      <c r="E88" s="4" t="n">
        <f aca="false">E87+1</f>
        <v>86</v>
      </c>
      <c r="F88" s="5" t="n">
        <v>31.34</v>
      </c>
      <c r="G88" s="6" t="n">
        <v>610</v>
      </c>
      <c r="H88" s="6" t="n">
        <v>645</v>
      </c>
      <c r="I88" s="6" t="n">
        <v>0</v>
      </c>
      <c r="J88" s="6" t="n">
        <v>20</v>
      </c>
      <c r="K88" s="6" t="n">
        <f aca="false">IF($F88="","",$F88*$H88)</f>
        <v>20214.3</v>
      </c>
      <c r="L88" s="6" t="n">
        <f aca="false">IFERROR(ROUND($F88*$G88,-1),"")</f>
        <v>19120</v>
      </c>
      <c r="M88" s="4"/>
      <c r="N88" s="5" t="n">
        <f aca="false">IF($F88="","",IF(N($I88)&gt;0,$F88,0))</f>
        <v>0</v>
      </c>
      <c r="O88" s="6" t="n">
        <f aca="false">IF($F88="","",N($N88)*N($I88))</f>
        <v>0</v>
      </c>
      <c r="P88" s="6" t="str">
        <f aca="false">IF(OR($C88=P$1,$C88="Titan Rocks"),$K88,"")</f>
        <v/>
      </c>
      <c r="Q88" s="6" t="str">
        <f aca="false">IF($C88=Q$1,$K88,"")</f>
        <v/>
      </c>
      <c r="R88" s="5" t="str">
        <f aca="false">IF($C88=Q$1,$F88,"")</f>
        <v/>
      </c>
      <c r="S88" s="6" t="str">
        <f aca="false">IF($C88=S$1,$K88,"")</f>
        <v/>
      </c>
      <c r="T88" s="5" t="str">
        <f aca="false">IF($C88=S$1,$F88,"")</f>
        <v/>
      </c>
      <c r="U88" s="6" t="str">
        <f aca="false">IF($C88=U$1,$K88,"")</f>
        <v/>
      </c>
      <c r="V88" s="5" t="str">
        <f aca="false">IF($C88=U$1,$F88,"")</f>
        <v/>
      </c>
      <c r="W88" s="6" t="str">
        <f aca="false">IF($C88=W$1,$K88,"")</f>
        <v/>
      </c>
      <c r="X88" s="5" t="str">
        <f aca="false">IF($C88=W$1,$F88,"")</f>
        <v/>
      </c>
      <c r="Y88" s="6" t="str">
        <f aca="false">IF($C88=Y$1,$K88,"")</f>
        <v/>
      </c>
      <c r="Z88" s="5" t="str">
        <f aca="false">IF($C88=Y$1,$F88,"")</f>
        <v/>
      </c>
      <c r="AA88" s="6" t="str">
        <f aca="false">IF($C88=AA$1,$K88,"")</f>
        <v/>
      </c>
      <c r="AB88" s="5" t="str">
        <f aca="false">IF($C88=AA$1,$F88,"")</f>
        <v/>
      </c>
      <c r="AC88" s="6" t="str">
        <f aca="false">IF($C88=AC$1,$K88,"")</f>
        <v/>
      </c>
      <c r="AD88" s="5" t="str">
        <f aca="false">IF($C88=AC$1,$F88,"")</f>
        <v/>
      </c>
      <c r="AE88" s="6" t="str">
        <f aca="false">IF($C88=AE$1,$K88,"")</f>
        <v/>
      </c>
      <c r="AF88" s="5" t="str">
        <f aca="false">IF($C88=AE$1,$F88,"")</f>
        <v/>
      </c>
      <c r="AG88" s="6" t="str">
        <f aca="false">IF($C88=AG$1,$K88,"")</f>
        <v/>
      </c>
      <c r="AH88" s="5" t="str">
        <f aca="false">IF($C88=AG$1,$F88,"")</f>
        <v/>
      </c>
      <c r="AI88" s="6" t="str">
        <f aca="false">IF($C88=AI$1,$K88,"")</f>
        <v/>
      </c>
      <c r="AJ88" s="5" t="str">
        <f aca="false">IF($C88=AI$1,$F88,"")</f>
        <v/>
      </c>
      <c r="AK88" s="6" t="str">
        <f aca="false">IF($C88=AK$1,$K88,"")</f>
        <v/>
      </c>
      <c r="AL88" s="5" t="str">
        <f aca="false">IF($C88=AK$1,$F88,"")</f>
        <v/>
      </c>
      <c r="AM88" s="6" t="str">
        <f aca="false">IF($C88=AM$1,$K88,"")</f>
        <v/>
      </c>
      <c r="AN88" s="5" t="str">
        <f aca="false">IF($C88=AM$1,$F88,"")</f>
        <v/>
      </c>
      <c r="AO88" s="6" t="n">
        <f aca="false">IF($C88=AO$1,$K88,"")</f>
        <v>20214.3</v>
      </c>
      <c r="AP88" s="5" t="n">
        <f aca="false">IF($C88=AO$1,$F88,"")</f>
        <v>31.34</v>
      </c>
      <c r="AQ88" s="5" t="n">
        <f aca="false">IF($F88="",0,IF($D88=AQ$1,$F88,0))</f>
        <v>0</v>
      </c>
      <c r="AR88" s="6" t="n">
        <f aca="false">IF($D88=AQ$1,N($K88)-N($L88)-N($O88),0)</f>
        <v>0</v>
      </c>
      <c r="AS88" s="5" t="n">
        <f aca="false">IF($F88="",0,IF($D88=AS$1,$F88,0))</f>
        <v>31.34</v>
      </c>
      <c r="AT88" s="6" t="n">
        <f aca="false">IF($D88=AS$1,N($K88)-N($L88)-N($O88),0)</f>
        <v>1094.3</v>
      </c>
      <c r="AU88" s="5" t="n">
        <f aca="false">IF(N($J88)&gt;0,N($F88),0)</f>
        <v>31.34</v>
      </c>
      <c r="AV88" s="6" t="n">
        <f aca="false">IF(N($J88)&gt;0,$F88*$J88,0)</f>
        <v>626.8</v>
      </c>
    </row>
    <row r="89" customFormat="false" ht="15" hidden="false" customHeight="false" outlineLevel="0" collapsed="false">
      <c r="A89" s="16" t="n">
        <v>46090</v>
      </c>
      <c r="B89" s="4" t="s">
        <v>232</v>
      </c>
      <c r="C89" s="4" t="s">
        <v>27</v>
      </c>
      <c r="D89" s="4" t="s">
        <v>67</v>
      </c>
      <c r="E89" s="4" t="n">
        <f aca="false">E88+1</f>
        <v>87</v>
      </c>
      <c r="F89" s="5" t="n">
        <v>29.88</v>
      </c>
      <c r="G89" s="6" t="n">
        <v>640</v>
      </c>
      <c r="H89" s="6" t="n">
        <v>645</v>
      </c>
      <c r="I89" s="6" t="n">
        <v>0</v>
      </c>
      <c r="J89" s="6" t="n">
        <v>20</v>
      </c>
      <c r="K89" s="6" t="n">
        <f aca="false">IF($F89="","",$F89*$H89)</f>
        <v>19272.6</v>
      </c>
      <c r="L89" s="6" t="n">
        <f aca="false">IFERROR(ROUND($F89*$G89,-1),"")</f>
        <v>19120</v>
      </c>
      <c r="M89" s="4"/>
      <c r="N89" s="5" t="n">
        <f aca="false">IF($F89="","",IF(N($I89)&gt;0,$F89,0))</f>
        <v>0</v>
      </c>
      <c r="O89" s="6" t="n">
        <f aca="false">IF($F89="","",N($N89)*N($I89))</f>
        <v>0</v>
      </c>
      <c r="P89" s="6" t="str">
        <f aca="false">IF(OR($C89=P$1,$C89="Titan Rocks"),$K89,"")</f>
        <v/>
      </c>
      <c r="Q89" s="6" t="str">
        <f aca="false">IF($C89=Q$1,$K89,"")</f>
        <v/>
      </c>
      <c r="R89" s="5" t="str">
        <f aca="false">IF($C89=Q$1,$F89,"")</f>
        <v/>
      </c>
      <c r="S89" s="6" t="str">
        <f aca="false">IF($C89=S$1,$K89,"")</f>
        <v/>
      </c>
      <c r="T89" s="5" t="str">
        <f aca="false">IF($C89=S$1,$F89,"")</f>
        <v/>
      </c>
      <c r="U89" s="6" t="str">
        <f aca="false">IF($C89=U$1,$K89,"")</f>
        <v/>
      </c>
      <c r="V89" s="5" t="str">
        <f aca="false">IF($C89=U$1,$F89,"")</f>
        <v/>
      </c>
      <c r="W89" s="6" t="str">
        <f aca="false">IF($C89=W$1,$K89,"")</f>
        <v/>
      </c>
      <c r="X89" s="5" t="str">
        <f aca="false">IF($C89=W$1,$F89,"")</f>
        <v/>
      </c>
      <c r="Y89" s="6" t="str">
        <f aca="false">IF($C89=Y$1,$K89,"")</f>
        <v/>
      </c>
      <c r="Z89" s="5" t="str">
        <f aca="false">IF($C89=Y$1,$F89,"")</f>
        <v/>
      </c>
      <c r="AA89" s="6" t="str">
        <f aca="false">IF($C89=AA$1,$K89,"")</f>
        <v/>
      </c>
      <c r="AB89" s="5" t="str">
        <f aca="false">IF($C89=AA$1,$F89,"")</f>
        <v/>
      </c>
      <c r="AC89" s="6" t="str">
        <f aca="false">IF($C89=AC$1,$K89,"")</f>
        <v/>
      </c>
      <c r="AD89" s="5" t="str">
        <f aca="false">IF($C89=AC$1,$F89,"")</f>
        <v/>
      </c>
      <c r="AE89" s="6" t="str">
        <f aca="false">IF($C89=AE$1,$K89,"")</f>
        <v/>
      </c>
      <c r="AF89" s="5" t="str">
        <f aca="false">IF($C89=AE$1,$F89,"")</f>
        <v/>
      </c>
      <c r="AG89" s="6" t="str">
        <f aca="false">IF($C89=AG$1,$K89,"")</f>
        <v/>
      </c>
      <c r="AH89" s="5" t="str">
        <f aca="false">IF($C89=AG$1,$F89,"")</f>
        <v/>
      </c>
      <c r="AI89" s="6" t="str">
        <f aca="false">IF($C89=AI$1,$K89,"")</f>
        <v/>
      </c>
      <c r="AJ89" s="5" t="str">
        <f aca="false">IF($C89=AI$1,$F89,"")</f>
        <v/>
      </c>
      <c r="AK89" s="6" t="str">
        <f aca="false">IF($C89=AK$1,$K89,"")</f>
        <v/>
      </c>
      <c r="AL89" s="5" t="str">
        <f aca="false">IF($C89=AK$1,$F89,"")</f>
        <v/>
      </c>
      <c r="AM89" s="6" t="str">
        <f aca="false">IF($C89=AM$1,$K89,"")</f>
        <v/>
      </c>
      <c r="AN89" s="5" t="str">
        <f aca="false">IF($C89=AM$1,$F89,"")</f>
        <v/>
      </c>
      <c r="AO89" s="6" t="n">
        <f aca="false">IF($C89=AO$1,$K89,"")</f>
        <v>19272.6</v>
      </c>
      <c r="AP89" s="5" t="n">
        <f aca="false">IF($C89=AO$1,$F89,"")</f>
        <v>29.88</v>
      </c>
      <c r="AQ89" s="5" t="n">
        <f aca="false">IF($F89="",0,IF($D89=AQ$1,$F89,0))</f>
        <v>29.88</v>
      </c>
      <c r="AR89" s="6" t="n">
        <f aca="false">IF($D89=AQ$1,N($K89)-N($L89)-N($O89),0)</f>
        <v>152.599999999999</v>
      </c>
      <c r="AS89" s="5" t="n">
        <f aca="false">IF($F89="",0,IF($D89=AS$1,$F89,0))</f>
        <v>0</v>
      </c>
      <c r="AT89" s="6" t="n">
        <f aca="false">IF($D89=AS$1,N($K89)-N($L89)-N($O89),0)</f>
        <v>0</v>
      </c>
      <c r="AU89" s="5" t="n">
        <f aca="false">IF(N($J89)&gt;0,N($F89),0)</f>
        <v>29.88</v>
      </c>
      <c r="AV89" s="6" t="n">
        <f aca="false">IF(N($J89)&gt;0,$F89*$J89,0)</f>
        <v>597.6</v>
      </c>
    </row>
    <row r="90" customFormat="false" ht="15" hidden="false" customHeight="false" outlineLevel="0" collapsed="false">
      <c r="A90" s="16" t="n">
        <v>46090</v>
      </c>
      <c r="B90" s="4" t="s">
        <v>232</v>
      </c>
      <c r="C90" s="4" t="s">
        <v>27</v>
      </c>
      <c r="D90" s="4" t="s">
        <v>67</v>
      </c>
      <c r="E90" s="4" t="n">
        <f aca="false">E89+1</f>
        <v>88</v>
      </c>
      <c r="F90" s="5" t="n">
        <v>30.42</v>
      </c>
      <c r="G90" s="6" t="n">
        <v>640</v>
      </c>
      <c r="H90" s="6" t="n">
        <v>645</v>
      </c>
      <c r="I90" s="6" t="n">
        <v>0</v>
      </c>
      <c r="J90" s="6" t="n">
        <v>20</v>
      </c>
      <c r="K90" s="6" t="n">
        <f aca="false">IF($F90="","",$F90*$H90)</f>
        <v>19620.9</v>
      </c>
      <c r="L90" s="6" t="n">
        <f aca="false">IFERROR(ROUND($F90*$G90,-1),"")</f>
        <v>19470</v>
      </c>
      <c r="M90" s="4"/>
      <c r="N90" s="5" t="n">
        <f aca="false">IF($F90="","",IF(N($I90)&gt;0,$F90,0))</f>
        <v>0</v>
      </c>
      <c r="O90" s="6" t="n">
        <f aca="false">IF($F90="","",N($N90)*N($I90))</f>
        <v>0</v>
      </c>
      <c r="P90" s="6" t="str">
        <f aca="false">IF(OR($C90=P$1,$C90="Titan Rocks"),$K90,"")</f>
        <v/>
      </c>
      <c r="Q90" s="6" t="str">
        <f aca="false">IF($C90=Q$1,$K90,"")</f>
        <v/>
      </c>
      <c r="R90" s="5" t="str">
        <f aca="false">IF($C90=Q$1,$F90,"")</f>
        <v/>
      </c>
      <c r="S90" s="6" t="str">
        <f aca="false">IF($C90=S$1,$K90,"")</f>
        <v/>
      </c>
      <c r="T90" s="5" t="str">
        <f aca="false">IF($C90=S$1,$F90,"")</f>
        <v/>
      </c>
      <c r="U90" s="6" t="str">
        <f aca="false">IF($C90=U$1,$K90,"")</f>
        <v/>
      </c>
      <c r="V90" s="5" t="str">
        <f aca="false">IF($C90=U$1,$F90,"")</f>
        <v/>
      </c>
      <c r="W90" s="6" t="str">
        <f aca="false">IF($C90=W$1,$K90,"")</f>
        <v/>
      </c>
      <c r="X90" s="5" t="str">
        <f aca="false">IF($C90=W$1,$F90,"")</f>
        <v/>
      </c>
      <c r="Y90" s="6" t="str">
        <f aca="false">IF($C90=Y$1,$K90,"")</f>
        <v/>
      </c>
      <c r="Z90" s="5" t="str">
        <f aca="false">IF($C90=Y$1,$F90,"")</f>
        <v/>
      </c>
      <c r="AA90" s="6" t="str">
        <f aca="false">IF($C90=AA$1,$K90,"")</f>
        <v/>
      </c>
      <c r="AB90" s="5" t="str">
        <f aca="false">IF($C90=AA$1,$F90,"")</f>
        <v/>
      </c>
      <c r="AC90" s="6" t="str">
        <f aca="false">IF($C90=AC$1,$K90,"")</f>
        <v/>
      </c>
      <c r="AD90" s="5" t="str">
        <f aca="false">IF($C90=AC$1,$F90,"")</f>
        <v/>
      </c>
      <c r="AE90" s="6" t="str">
        <f aca="false">IF($C90=AE$1,$K90,"")</f>
        <v/>
      </c>
      <c r="AF90" s="5" t="str">
        <f aca="false">IF($C90=AE$1,$F90,"")</f>
        <v/>
      </c>
      <c r="AG90" s="6" t="str">
        <f aca="false">IF($C90=AG$1,$K90,"")</f>
        <v/>
      </c>
      <c r="AH90" s="5" t="str">
        <f aca="false">IF($C90=AG$1,$F90,"")</f>
        <v/>
      </c>
      <c r="AI90" s="6" t="str">
        <f aca="false">IF($C90=AI$1,$K90,"")</f>
        <v/>
      </c>
      <c r="AJ90" s="5" t="str">
        <f aca="false">IF($C90=AI$1,$F90,"")</f>
        <v/>
      </c>
      <c r="AK90" s="6" t="str">
        <f aca="false">IF($C90=AK$1,$K90,"")</f>
        <v/>
      </c>
      <c r="AL90" s="5" t="str">
        <f aca="false">IF($C90=AK$1,$F90,"")</f>
        <v/>
      </c>
      <c r="AM90" s="6" t="str">
        <f aca="false">IF($C90=AM$1,$K90,"")</f>
        <v/>
      </c>
      <c r="AN90" s="5" t="str">
        <f aca="false">IF($C90=AM$1,$F90,"")</f>
        <v/>
      </c>
      <c r="AO90" s="6" t="n">
        <f aca="false">IF($C90=AO$1,$K90,"")</f>
        <v>19620.9</v>
      </c>
      <c r="AP90" s="5" t="n">
        <f aca="false">IF($C90=AO$1,$F90,"")</f>
        <v>30.42</v>
      </c>
      <c r="AQ90" s="5" t="n">
        <f aca="false">IF($F90="",0,IF($D90=AQ$1,$F90,0))</f>
        <v>30.42</v>
      </c>
      <c r="AR90" s="6" t="n">
        <f aca="false">IF($D90=AQ$1,N($K90)-N($L90)-N($O90),0)</f>
        <v>150.900000000001</v>
      </c>
      <c r="AS90" s="5" t="n">
        <f aca="false">IF($F90="",0,IF($D90=AS$1,$F90,0))</f>
        <v>0</v>
      </c>
      <c r="AT90" s="6" t="n">
        <f aca="false">IF($D90=AS$1,N($K90)-N($L90)-N($O90),0)</f>
        <v>0</v>
      </c>
      <c r="AU90" s="5" t="n">
        <f aca="false">IF(N($J90)&gt;0,N($F90),0)</f>
        <v>30.42</v>
      </c>
      <c r="AV90" s="6" t="n">
        <f aca="false">IF(N($J90)&gt;0,$F90*$J90,0)</f>
        <v>608.4</v>
      </c>
    </row>
    <row r="91" customFormat="false" ht="15" hidden="false" customHeight="false" outlineLevel="0" collapsed="false">
      <c r="A91" s="16" t="n">
        <v>46090</v>
      </c>
      <c r="B91" s="4" t="s">
        <v>232</v>
      </c>
      <c r="C91" s="4" t="s">
        <v>27</v>
      </c>
      <c r="D91" s="4" t="s">
        <v>67</v>
      </c>
      <c r="E91" s="4" t="n">
        <f aca="false">E90+1</f>
        <v>89</v>
      </c>
      <c r="F91" s="5" t="n">
        <v>31.3</v>
      </c>
      <c r="G91" s="6" t="n">
        <v>640</v>
      </c>
      <c r="H91" s="6" t="n">
        <v>645</v>
      </c>
      <c r="I91" s="6" t="n">
        <v>0</v>
      </c>
      <c r="J91" s="6" t="n">
        <v>20</v>
      </c>
      <c r="K91" s="6" t="n">
        <f aca="false">IF($F91="","",$F91*$H91)</f>
        <v>20188.5</v>
      </c>
      <c r="L91" s="6" t="n">
        <f aca="false">IFERROR(ROUND($F91*$G91,-1),"")</f>
        <v>20030</v>
      </c>
      <c r="M91" s="4"/>
      <c r="N91" s="5" t="n">
        <f aca="false">IF($F91="","",IF(N($I91)&gt;0,$F91,0))</f>
        <v>0</v>
      </c>
      <c r="O91" s="6" t="n">
        <f aca="false">IF($F91="","",N($N91)*N($I91))</f>
        <v>0</v>
      </c>
      <c r="P91" s="6" t="str">
        <f aca="false">IF(OR($C91=P$1,$C91="Titan Rocks"),$K91,"")</f>
        <v/>
      </c>
      <c r="Q91" s="6" t="str">
        <f aca="false">IF($C91=Q$1,$K91,"")</f>
        <v/>
      </c>
      <c r="R91" s="5" t="str">
        <f aca="false">IF($C91=Q$1,$F91,"")</f>
        <v/>
      </c>
      <c r="S91" s="6" t="str">
        <f aca="false">IF($C91=S$1,$K91,"")</f>
        <v/>
      </c>
      <c r="T91" s="5" t="str">
        <f aca="false">IF($C91=S$1,$F91,"")</f>
        <v/>
      </c>
      <c r="U91" s="6" t="str">
        <f aca="false">IF($C91=U$1,$K91,"")</f>
        <v/>
      </c>
      <c r="V91" s="5" t="str">
        <f aca="false">IF($C91=U$1,$F91,"")</f>
        <v/>
      </c>
      <c r="W91" s="6" t="str">
        <f aca="false">IF($C91=W$1,$K91,"")</f>
        <v/>
      </c>
      <c r="X91" s="5" t="str">
        <f aca="false">IF($C91=W$1,$F91,"")</f>
        <v/>
      </c>
      <c r="Y91" s="6" t="str">
        <f aca="false">IF($C91=Y$1,$K91,"")</f>
        <v/>
      </c>
      <c r="Z91" s="5" t="str">
        <f aca="false">IF($C91=Y$1,$F91,"")</f>
        <v/>
      </c>
      <c r="AA91" s="6" t="str">
        <f aca="false">IF($C91=AA$1,$K91,"")</f>
        <v/>
      </c>
      <c r="AB91" s="5" t="str">
        <f aca="false">IF($C91=AA$1,$F91,"")</f>
        <v/>
      </c>
      <c r="AC91" s="6" t="str">
        <f aca="false">IF($C91=AC$1,$K91,"")</f>
        <v/>
      </c>
      <c r="AD91" s="5" t="str">
        <f aca="false">IF($C91=AC$1,$F91,"")</f>
        <v/>
      </c>
      <c r="AE91" s="6" t="str">
        <f aca="false">IF($C91=AE$1,$K91,"")</f>
        <v/>
      </c>
      <c r="AF91" s="5" t="str">
        <f aca="false">IF($C91=AE$1,$F91,"")</f>
        <v/>
      </c>
      <c r="AG91" s="6" t="str">
        <f aca="false">IF($C91=AG$1,$K91,"")</f>
        <v/>
      </c>
      <c r="AH91" s="5" t="str">
        <f aca="false">IF($C91=AG$1,$F91,"")</f>
        <v/>
      </c>
      <c r="AI91" s="6" t="str">
        <f aca="false">IF($C91=AI$1,$K91,"")</f>
        <v/>
      </c>
      <c r="AJ91" s="5" t="str">
        <f aca="false">IF($C91=AI$1,$F91,"")</f>
        <v/>
      </c>
      <c r="AK91" s="6" t="str">
        <f aca="false">IF($C91=AK$1,$K91,"")</f>
        <v/>
      </c>
      <c r="AL91" s="5" t="str">
        <f aca="false">IF($C91=AK$1,$F91,"")</f>
        <v/>
      </c>
      <c r="AM91" s="6" t="str">
        <f aca="false">IF($C91=AM$1,$K91,"")</f>
        <v/>
      </c>
      <c r="AN91" s="5" t="str">
        <f aca="false">IF($C91=AM$1,$F91,"")</f>
        <v/>
      </c>
      <c r="AO91" s="6" t="n">
        <f aca="false">IF($C91=AO$1,$K91,"")</f>
        <v>20188.5</v>
      </c>
      <c r="AP91" s="5" t="n">
        <f aca="false">IF($C91=AO$1,$F91,"")</f>
        <v>31.3</v>
      </c>
      <c r="AQ91" s="5" t="n">
        <f aca="false">IF($F91="",0,IF($D91=AQ$1,$F91,0))</f>
        <v>31.3</v>
      </c>
      <c r="AR91" s="6" t="n">
        <f aca="false">IF($D91=AQ$1,N($K91)-N($L91)-N($O91),0)</f>
        <v>158.5</v>
      </c>
      <c r="AS91" s="5" t="n">
        <f aca="false">IF($F91="",0,IF($D91=AS$1,$F91,0))</f>
        <v>0</v>
      </c>
      <c r="AT91" s="6" t="n">
        <f aca="false">IF($D91=AS$1,N($K91)-N($L91)-N($O91),0)</f>
        <v>0</v>
      </c>
      <c r="AU91" s="5" t="n">
        <f aca="false">IF(N($J91)&gt;0,N($F91),0)</f>
        <v>31.3</v>
      </c>
      <c r="AV91" s="6" t="n">
        <f aca="false">IF(N($J91)&gt;0,$F91*$J91,0)</f>
        <v>626</v>
      </c>
    </row>
    <row r="92" customFormat="false" ht="15" hidden="false" customHeight="false" outlineLevel="0" collapsed="false">
      <c r="A92" s="16" t="n">
        <v>46090</v>
      </c>
      <c r="B92" s="4" t="s">
        <v>232</v>
      </c>
      <c r="C92" s="4" t="s">
        <v>16</v>
      </c>
      <c r="D92" s="4" t="s">
        <v>67</v>
      </c>
      <c r="E92" s="4" t="n">
        <f aca="false">E91+1</f>
        <v>90</v>
      </c>
      <c r="F92" s="5" t="n">
        <v>34.07</v>
      </c>
      <c r="G92" s="6" t="n">
        <v>640</v>
      </c>
      <c r="H92" s="6" t="n">
        <v>900</v>
      </c>
      <c r="I92" s="6" t="n">
        <v>250</v>
      </c>
      <c r="J92" s="6" t="n">
        <v>20</v>
      </c>
      <c r="K92" s="6" t="n">
        <f aca="false">IF($F92="","",$F92*$H92)</f>
        <v>30663</v>
      </c>
      <c r="L92" s="6" t="n">
        <f aca="false">IFERROR(ROUND($F92*$G92,-1),"")</f>
        <v>21800</v>
      </c>
      <c r="M92" s="4" t="s">
        <v>36</v>
      </c>
      <c r="N92" s="5" t="n">
        <f aca="false">IF($F92="","",IF(N($I92)&gt;0,$F92,0))</f>
        <v>34.07</v>
      </c>
      <c r="O92" s="6" t="n">
        <f aca="false">IF($F92="","",N($N92)*N($I92))</f>
        <v>8517.5</v>
      </c>
      <c r="P92" s="6" t="str">
        <f aca="false">IF(OR($C92=P$1,$C92="Titan Rocks"),$K92,"")</f>
        <v/>
      </c>
      <c r="Q92" s="6" t="str">
        <f aca="false">IF($C92=Q$1,$K92,"")</f>
        <v/>
      </c>
      <c r="R92" s="5" t="str">
        <f aca="false">IF($C92=Q$1,$F92,"")</f>
        <v/>
      </c>
      <c r="S92" s="6" t="n">
        <f aca="false">IF($C92=S$1,$K92,"")</f>
        <v>30663</v>
      </c>
      <c r="T92" s="5" t="n">
        <f aca="false">IF($C92=S$1,$F92,"")</f>
        <v>34.07</v>
      </c>
      <c r="U92" s="6" t="str">
        <f aca="false">IF($C92=U$1,$K92,"")</f>
        <v/>
      </c>
      <c r="V92" s="5" t="str">
        <f aca="false">IF($C92=U$1,$F92,"")</f>
        <v/>
      </c>
      <c r="W92" s="6" t="str">
        <f aca="false">IF($C92=W$1,$K92,"")</f>
        <v/>
      </c>
      <c r="X92" s="5" t="str">
        <f aca="false">IF($C92=W$1,$F92,"")</f>
        <v/>
      </c>
      <c r="Y92" s="6" t="str">
        <f aca="false">IF($C92=Y$1,$K92,"")</f>
        <v/>
      </c>
      <c r="Z92" s="5" t="str">
        <f aca="false">IF($C92=Y$1,$F92,"")</f>
        <v/>
      </c>
      <c r="AA92" s="6" t="str">
        <f aca="false">IF($C92=AA$1,$K92,"")</f>
        <v/>
      </c>
      <c r="AB92" s="5" t="str">
        <f aca="false">IF($C92=AA$1,$F92,"")</f>
        <v/>
      </c>
      <c r="AC92" s="6" t="str">
        <f aca="false">IF($C92=AC$1,$K92,"")</f>
        <v/>
      </c>
      <c r="AD92" s="5" t="str">
        <f aca="false">IF($C92=AC$1,$F92,"")</f>
        <v/>
      </c>
      <c r="AE92" s="6" t="str">
        <f aca="false">IF($C92=AE$1,$K92,"")</f>
        <v/>
      </c>
      <c r="AF92" s="5" t="str">
        <f aca="false">IF($C92=AE$1,$F92,"")</f>
        <v/>
      </c>
      <c r="AG92" s="6" t="str">
        <f aca="false">IF($C92=AG$1,$K92,"")</f>
        <v/>
      </c>
      <c r="AH92" s="5" t="str">
        <f aca="false">IF($C92=AG$1,$F92,"")</f>
        <v/>
      </c>
      <c r="AI92" s="6" t="str">
        <f aca="false">IF($C92=AI$1,$K92,"")</f>
        <v/>
      </c>
      <c r="AJ92" s="5" t="str">
        <f aca="false">IF($C92=AI$1,$F92,"")</f>
        <v/>
      </c>
      <c r="AK92" s="6" t="str">
        <f aca="false">IF($C92=AK$1,$K92,"")</f>
        <v/>
      </c>
      <c r="AL92" s="5" t="str">
        <f aca="false">IF($C92=AK$1,$F92,"")</f>
        <v/>
      </c>
      <c r="AM92" s="6" t="str">
        <f aca="false">IF($C92=AM$1,$K92,"")</f>
        <v/>
      </c>
      <c r="AN92" s="5" t="str">
        <f aca="false">IF($C92=AM$1,$F92,"")</f>
        <v/>
      </c>
      <c r="AO92" s="6" t="str">
        <f aca="false">IF($C92=AO$1,$K92,"")</f>
        <v/>
      </c>
      <c r="AP92" s="5" t="str">
        <f aca="false">IF($C92=AO$1,$F92,"")</f>
        <v/>
      </c>
      <c r="AQ92" s="5" t="n">
        <f aca="false">IF($F92="",0,IF($D92=AQ$1,$F92,0))</f>
        <v>34.07</v>
      </c>
      <c r="AR92" s="6" t="n">
        <f aca="false">IF($D92=AQ$1,N($K92)-N($L92)-N($O92),0)</f>
        <v>345.5</v>
      </c>
      <c r="AS92" s="5" t="n">
        <f aca="false">IF($F92="",0,IF($D92=AS$1,$F92,0))</f>
        <v>0</v>
      </c>
      <c r="AT92" s="6" t="n">
        <f aca="false">IF($D92=AS$1,N($K92)-N($L92)-N($O92),0)</f>
        <v>0</v>
      </c>
      <c r="AU92" s="5" t="n">
        <f aca="false">IF(N($J92)&gt;0,N($F92),0)</f>
        <v>34.07</v>
      </c>
      <c r="AV92" s="6" t="n">
        <f aca="false">IF(N($J92)&gt;0,$F92*$J92,0)</f>
        <v>681.4</v>
      </c>
    </row>
    <row r="93" customFormat="false" ht="15" hidden="false" customHeight="false" outlineLevel="0" collapsed="false">
      <c r="A93" s="16" t="n">
        <v>46090</v>
      </c>
      <c r="B93" s="4" t="s">
        <v>232</v>
      </c>
      <c r="C93" s="4" t="s">
        <v>27</v>
      </c>
      <c r="D93" s="4" t="s">
        <v>68</v>
      </c>
      <c r="E93" s="4" t="n">
        <f aca="false">E92+1</f>
        <v>91</v>
      </c>
      <c r="F93" s="5" t="n">
        <v>32.4</v>
      </c>
      <c r="G93" s="6" t="n">
        <v>610</v>
      </c>
      <c r="H93" s="6" t="n">
        <v>645</v>
      </c>
      <c r="I93" s="6" t="n">
        <v>0</v>
      </c>
      <c r="J93" s="6" t="n">
        <v>20</v>
      </c>
      <c r="K93" s="6" t="n">
        <f aca="false">IF($F93="","",$F93*$H93)</f>
        <v>20898</v>
      </c>
      <c r="L93" s="6" t="n">
        <f aca="false">IFERROR(ROUND($F93*$G93,-1),"")</f>
        <v>19760</v>
      </c>
      <c r="M93" s="4"/>
      <c r="N93" s="5" t="n">
        <f aca="false">IF($F93="","",IF(N($I93)&gt;0,$F93,0))</f>
        <v>0</v>
      </c>
      <c r="O93" s="6" t="n">
        <f aca="false">IF($F93="","",N($N93)*N($I93))</f>
        <v>0</v>
      </c>
      <c r="P93" s="6" t="str">
        <f aca="false">IF(OR($C93=P$1,$C93="Titan Rocks"),$K93,"")</f>
        <v/>
      </c>
      <c r="Q93" s="6" t="str">
        <f aca="false">IF($C93=Q$1,$K93,"")</f>
        <v/>
      </c>
      <c r="R93" s="5" t="str">
        <f aca="false">IF($C93=Q$1,$F93,"")</f>
        <v/>
      </c>
      <c r="S93" s="6" t="str">
        <f aca="false">IF($C93=S$1,$K93,"")</f>
        <v/>
      </c>
      <c r="T93" s="5" t="str">
        <f aca="false">IF($C93=S$1,$F93,"")</f>
        <v/>
      </c>
      <c r="U93" s="6" t="str">
        <f aca="false">IF($C93=U$1,$K93,"")</f>
        <v/>
      </c>
      <c r="V93" s="5" t="str">
        <f aca="false">IF($C93=U$1,$F93,"")</f>
        <v/>
      </c>
      <c r="W93" s="6" t="str">
        <f aca="false">IF($C93=W$1,$K93,"")</f>
        <v/>
      </c>
      <c r="X93" s="5" t="str">
        <f aca="false">IF($C93=W$1,$F93,"")</f>
        <v/>
      </c>
      <c r="Y93" s="6" t="str">
        <f aca="false">IF($C93=Y$1,$K93,"")</f>
        <v/>
      </c>
      <c r="Z93" s="5" t="str">
        <f aca="false">IF($C93=Y$1,$F93,"")</f>
        <v/>
      </c>
      <c r="AA93" s="6" t="str">
        <f aca="false">IF($C93=AA$1,$K93,"")</f>
        <v/>
      </c>
      <c r="AB93" s="5" t="str">
        <f aca="false">IF($C93=AA$1,$F93,"")</f>
        <v/>
      </c>
      <c r="AC93" s="6" t="str">
        <f aca="false">IF($C93=AC$1,$K93,"")</f>
        <v/>
      </c>
      <c r="AD93" s="5" t="str">
        <f aca="false">IF($C93=AC$1,$F93,"")</f>
        <v/>
      </c>
      <c r="AE93" s="6" t="str">
        <f aca="false">IF($C93=AE$1,$K93,"")</f>
        <v/>
      </c>
      <c r="AF93" s="5" t="str">
        <f aca="false">IF($C93=AE$1,$F93,"")</f>
        <v/>
      </c>
      <c r="AG93" s="6" t="str">
        <f aca="false">IF($C93=AG$1,$K93,"")</f>
        <v/>
      </c>
      <c r="AH93" s="5" t="str">
        <f aca="false">IF($C93=AG$1,$F93,"")</f>
        <v/>
      </c>
      <c r="AI93" s="6" t="str">
        <f aca="false">IF($C93=AI$1,$K93,"")</f>
        <v/>
      </c>
      <c r="AJ93" s="5" t="str">
        <f aca="false">IF($C93=AI$1,$F93,"")</f>
        <v/>
      </c>
      <c r="AK93" s="6" t="str">
        <f aca="false">IF($C93=AK$1,$K93,"")</f>
        <v/>
      </c>
      <c r="AL93" s="5" t="str">
        <f aca="false">IF($C93=AK$1,$F93,"")</f>
        <v/>
      </c>
      <c r="AM93" s="6" t="str">
        <f aca="false">IF($C93=AM$1,$K93,"")</f>
        <v/>
      </c>
      <c r="AN93" s="5" t="str">
        <f aca="false">IF($C93=AM$1,$F93,"")</f>
        <v/>
      </c>
      <c r="AO93" s="6" t="n">
        <f aca="false">IF($C93=AO$1,$K93,"")</f>
        <v>20898</v>
      </c>
      <c r="AP93" s="5" t="n">
        <f aca="false">IF($C93=AO$1,$F93,"")</f>
        <v>32.4</v>
      </c>
      <c r="AQ93" s="5" t="n">
        <f aca="false">IF($F93="",0,IF($D93=AQ$1,$F93,0))</f>
        <v>0</v>
      </c>
      <c r="AR93" s="6" t="n">
        <f aca="false">IF($D93=AQ$1,N($K93)-N($L93)-N($O93),0)</f>
        <v>0</v>
      </c>
      <c r="AS93" s="5" t="n">
        <f aca="false">IF($F93="",0,IF($D93=AS$1,$F93,0))</f>
        <v>32.4</v>
      </c>
      <c r="AT93" s="6" t="n">
        <f aca="false">IF($D93=AS$1,N($K93)-N($L93)-N($O93),0)</f>
        <v>1138</v>
      </c>
      <c r="AU93" s="5" t="n">
        <f aca="false">IF(N($J93)&gt;0,N($F93),0)</f>
        <v>32.4</v>
      </c>
      <c r="AV93" s="6" t="n">
        <f aca="false">IF(N($J93)&gt;0,$F93*$J93,0)</f>
        <v>648</v>
      </c>
    </row>
    <row r="94" customFormat="false" ht="15" hidden="false" customHeight="false" outlineLevel="0" collapsed="false">
      <c r="A94" s="16" t="n">
        <v>46090</v>
      </c>
      <c r="B94" s="4" t="s">
        <v>232</v>
      </c>
      <c r="C94" s="4" t="s">
        <v>27</v>
      </c>
      <c r="D94" s="4" t="s">
        <v>68</v>
      </c>
      <c r="E94" s="4" t="n">
        <f aca="false">E93+1</f>
        <v>92</v>
      </c>
      <c r="F94" s="5" t="n">
        <v>32.29</v>
      </c>
      <c r="G94" s="6" t="n">
        <v>610</v>
      </c>
      <c r="H94" s="6" t="n">
        <v>645</v>
      </c>
      <c r="I94" s="6" t="n">
        <v>0</v>
      </c>
      <c r="J94" s="6" t="n">
        <v>20</v>
      </c>
      <c r="K94" s="6" t="n">
        <f aca="false">IF($F94="","",$F94*$H94)</f>
        <v>20827.05</v>
      </c>
      <c r="L94" s="6" t="n">
        <f aca="false">IFERROR(ROUND($F94*$G94,-1),"")</f>
        <v>19700</v>
      </c>
      <c r="M94" s="4"/>
      <c r="N94" s="5" t="n">
        <f aca="false">IF($F94="","",IF(N($I94)&gt;0,$F94,0))</f>
        <v>0</v>
      </c>
      <c r="O94" s="6" t="n">
        <f aca="false">IF($F94="","",N($N94)*N($I94))</f>
        <v>0</v>
      </c>
      <c r="P94" s="6" t="str">
        <f aca="false">IF(OR($C94=P$1,$C94="Titan Rocks"),$K94,"")</f>
        <v/>
      </c>
      <c r="Q94" s="6" t="str">
        <f aca="false">IF($C94=Q$1,$K94,"")</f>
        <v/>
      </c>
      <c r="R94" s="5" t="str">
        <f aca="false">IF($C94=Q$1,$F94,"")</f>
        <v/>
      </c>
      <c r="S94" s="6" t="str">
        <f aca="false">IF($C94=S$1,$K94,"")</f>
        <v/>
      </c>
      <c r="T94" s="5" t="str">
        <f aca="false">IF($C94=S$1,$F94,"")</f>
        <v/>
      </c>
      <c r="U94" s="6" t="str">
        <f aca="false">IF($C94=U$1,$K94,"")</f>
        <v/>
      </c>
      <c r="V94" s="5" t="str">
        <f aca="false">IF($C94=U$1,$F94,"")</f>
        <v/>
      </c>
      <c r="W94" s="6" t="str">
        <f aca="false">IF($C94=W$1,$K94,"")</f>
        <v/>
      </c>
      <c r="X94" s="5" t="str">
        <f aca="false">IF($C94=W$1,$F94,"")</f>
        <v/>
      </c>
      <c r="Y94" s="6" t="str">
        <f aca="false">IF($C94=Y$1,$K94,"")</f>
        <v/>
      </c>
      <c r="Z94" s="5" t="str">
        <f aca="false">IF($C94=Y$1,$F94,"")</f>
        <v/>
      </c>
      <c r="AA94" s="6" t="str">
        <f aca="false">IF($C94=AA$1,$K94,"")</f>
        <v/>
      </c>
      <c r="AB94" s="5" t="str">
        <f aca="false">IF($C94=AA$1,$F94,"")</f>
        <v/>
      </c>
      <c r="AC94" s="6" t="str">
        <f aca="false">IF($C94=AC$1,$K94,"")</f>
        <v/>
      </c>
      <c r="AD94" s="5" t="str">
        <f aca="false">IF($C94=AC$1,$F94,"")</f>
        <v/>
      </c>
      <c r="AE94" s="6" t="str">
        <f aca="false">IF($C94=AE$1,$K94,"")</f>
        <v/>
      </c>
      <c r="AF94" s="5" t="str">
        <f aca="false">IF($C94=AE$1,$F94,"")</f>
        <v/>
      </c>
      <c r="AG94" s="6" t="str">
        <f aca="false">IF($C94=AG$1,$K94,"")</f>
        <v/>
      </c>
      <c r="AH94" s="5" t="str">
        <f aca="false">IF($C94=AG$1,$F94,"")</f>
        <v/>
      </c>
      <c r="AI94" s="6" t="str">
        <f aca="false">IF($C94=AI$1,$K94,"")</f>
        <v/>
      </c>
      <c r="AJ94" s="5" t="str">
        <f aca="false">IF($C94=AI$1,$F94,"")</f>
        <v/>
      </c>
      <c r="AK94" s="6" t="str">
        <f aca="false">IF($C94=AK$1,$K94,"")</f>
        <v/>
      </c>
      <c r="AL94" s="5" t="str">
        <f aca="false">IF($C94=AK$1,$F94,"")</f>
        <v/>
      </c>
      <c r="AM94" s="6" t="str">
        <f aca="false">IF($C94=AM$1,$K94,"")</f>
        <v/>
      </c>
      <c r="AN94" s="5" t="str">
        <f aca="false">IF($C94=AM$1,$F94,"")</f>
        <v/>
      </c>
      <c r="AO94" s="6" t="n">
        <f aca="false">IF($C94=AO$1,$K94,"")</f>
        <v>20827.05</v>
      </c>
      <c r="AP94" s="5" t="n">
        <f aca="false">IF($C94=AO$1,$F94,"")</f>
        <v>32.29</v>
      </c>
      <c r="AQ94" s="5" t="n">
        <f aca="false">IF($F94="",0,IF($D94=AQ$1,$F94,0))</f>
        <v>0</v>
      </c>
      <c r="AR94" s="6" t="n">
        <f aca="false">IF($D94=AQ$1,N($K94)-N($L94)-N($O94),0)</f>
        <v>0</v>
      </c>
      <c r="AS94" s="5" t="n">
        <f aca="false">IF($F94="",0,IF($D94=AS$1,$F94,0))</f>
        <v>32.29</v>
      </c>
      <c r="AT94" s="6" t="n">
        <f aca="false">IF($D94=AS$1,N($K94)-N($L94)-N($O94),0)</f>
        <v>1127.05</v>
      </c>
      <c r="AU94" s="5" t="n">
        <f aca="false">IF(N($J94)&gt;0,N($F94),0)</f>
        <v>32.29</v>
      </c>
      <c r="AV94" s="6" t="n">
        <f aca="false">IF(N($J94)&gt;0,$F94*$J94,0)</f>
        <v>645.8</v>
      </c>
    </row>
    <row r="95" customFormat="false" ht="15" hidden="false" customHeight="false" outlineLevel="0" collapsed="false">
      <c r="A95" s="16" t="n">
        <v>46090</v>
      </c>
      <c r="B95" s="4" t="s">
        <v>232</v>
      </c>
      <c r="C95" s="4" t="s">
        <v>27</v>
      </c>
      <c r="D95" s="4" t="s">
        <v>68</v>
      </c>
      <c r="E95" s="4" t="n">
        <f aca="false">E94+1</f>
        <v>93</v>
      </c>
      <c r="F95" s="5" t="n">
        <v>32.05</v>
      </c>
      <c r="G95" s="6" t="n">
        <v>610</v>
      </c>
      <c r="H95" s="6" t="n">
        <v>645</v>
      </c>
      <c r="I95" s="6" t="n">
        <v>0</v>
      </c>
      <c r="J95" s="6" t="n">
        <v>20</v>
      </c>
      <c r="K95" s="6" t="n">
        <f aca="false">IF($F95="","",$F95*$H95)</f>
        <v>20672.25</v>
      </c>
      <c r="L95" s="6" t="n">
        <f aca="false">IFERROR(ROUND($F95*$G95,-1),"")</f>
        <v>19550</v>
      </c>
      <c r="M95" s="4"/>
      <c r="N95" s="5" t="n">
        <f aca="false">IF($F95="","",IF(N($I95)&gt;0,$F95,0))</f>
        <v>0</v>
      </c>
      <c r="O95" s="6" t="n">
        <f aca="false">IF($F95="","",N($N95)*N($I95))</f>
        <v>0</v>
      </c>
      <c r="P95" s="6" t="str">
        <f aca="false">IF(OR($C95=P$1,$C95="Titan Rocks"),$K95,"")</f>
        <v/>
      </c>
      <c r="Q95" s="6" t="str">
        <f aca="false">IF($C95=Q$1,$K95,"")</f>
        <v/>
      </c>
      <c r="R95" s="5" t="str">
        <f aca="false">IF($C95=Q$1,$F95,"")</f>
        <v/>
      </c>
      <c r="S95" s="6" t="str">
        <f aca="false">IF($C95=S$1,$K95,"")</f>
        <v/>
      </c>
      <c r="T95" s="5" t="str">
        <f aca="false">IF($C95=S$1,$F95,"")</f>
        <v/>
      </c>
      <c r="U95" s="6" t="str">
        <f aca="false">IF($C95=U$1,$K95,"")</f>
        <v/>
      </c>
      <c r="V95" s="5" t="str">
        <f aca="false">IF($C95=U$1,$F95,"")</f>
        <v/>
      </c>
      <c r="W95" s="6" t="str">
        <f aca="false">IF($C95=W$1,$K95,"")</f>
        <v/>
      </c>
      <c r="X95" s="5" t="str">
        <f aca="false">IF($C95=W$1,$F95,"")</f>
        <v/>
      </c>
      <c r="Y95" s="6" t="str">
        <f aca="false">IF($C95=Y$1,$K95,"")</f>
        <v/>
      </c>
      <c r="Z95" s="5" t="str">
        <f aca="false">IF($C95=Y$1,$F95,"")</f>
        <v/>
      </c>
      <c r="AA95" s="6" t="str">
        <f aca="false">IF($C95=AA$1,$K95,"")</f>
        <v/>
      </c>
      <c r="AB95" s="5" t="str">
        <f aca="false">IF($C95=AA$1,$F95,"")</f>
        <v/>
      </c>
      <c r="AC95" s="6" t="str">
        <f aca="false">IF($C95=AC$1,$K95,"")</f>
        <v/>
      </c>
      <c r="AD95" s="5" t="str">
        <f aca="false">IF($C95=AC$1,$F95,"")</f>
        <v/>
      </c>
      <c r="AE95" s="6" t="str">
        <f aca="false">IF($C95=AE$1,$K95,"")</f>
        <v/>
      </c>
      <c r="AF95" s="5" t="str">
        <f aca="false">IF($C95=AE$1,$F95,"")</f>
        <v/>
      </c>
      <c r="AG95" s="6" t="str">
        <f aca="false">IF($C95=AG$1,$K95,"")</f>
        <v/>
      </c>
      <c r="AH95" s="5" t="str">
        <f aca="false">IF($C95=AG$1,$F95,"")</f>
        <v/>
      </c>
      <c r="AI95" s="6" t="str">
        <f aca="false">IF($C95=AI$1,$K95,"")</f>
        <v/>
      </c>
      <c r="AJ95" s="5" t="str">
        <f aca="false">IF($C95=AI$1,$F95,"")</f>
        <v/>
      </c>
      <c r="AK95" s="6" t="str">
        <f aca="false">IF($C95=AK$1,$K95,"")</f>
        <v/>
      </c>
      <c r="AL95" s="5" t="str">
        <f aca="false">IF($C95=AK$1,$F95,"")</f>
        <v/>
      </c>
      <c r="AM95" s="6" t="str">
        <f aca="false">IF($C95=AM$1,$K95,"")</f>
        <v/>
      </c>
      <c r="AN95" s="5" t="str">
        <f aca="false">IF($C95=AM$1,$F95,"")</f>
        <v/>
      </c>
      <c r="AO95" s="6" t="n">
        <f aca="false">IF($C95=AO$1,$K95,"")</f>
        <v>20672.25</v>
      </c>
      <c r="AP95" s="5" t="n">
        <f aca="false">IF($C95=AO$1,$F95,"")</f>
        <v>32.05</v>
      </c>
      <c r="AQ95" s="5" t="n">
        <f aca="false">IF($F95="",0,IF($D95=AQ$1,$F95,0))</f>
        <v>0</v>
      </c>
      <c r="AR95" s="6" t="n">
        <f aca="false">IF($D95=AQ$1,N($K95)-N($L95)-N($O95),0)</f>
        <v>0</v>
      </c>
      <c r="AS95" s="5" t="n">
        <f aca="false">IF($F95="",0,IF($D95=AS$1,$F95,0))</f>
        <v>32.05</v>
      </c>
      <c r="AT95" s="6" t="n">
        <f aca="false">IF($D95=AS$1,N($K95)-N($L95)-N($O95),0)</f>
        <v>1122.25</v>
      </c>
      <c r="AU95" s="5" t="n">
        <f aca="false">IF(N($J95)&gt;0,N($F95),0)</f>
        <v>32.05</v>
      </c>
      <c r="AV95" s="6" t="n">
        <f aca="false">IF(N($J95)&gt;0,$F95*$J95,0)</f>
        <v>641</v>
      </c>
    </row>
    <row r="96" customFormat="false" ht="15" hidden="false" customHeight="false" outlineLevel="0" collapsed="false">
      <c r="A96" s="16" t="n">
        <v>46090</v>
      </c>
      <c r="B96" s="4" t="s">
        <v>232</v>
      </c>
      <c r="C96" s="4" t="s">
        <v>15</v>
      </c>
      <c r="D96" s="4" t="s">
        <v>67</v>
      </c>
      <c r="E96" s="4" t="n">
        <f aca="false">E95+1</f>
        <v>94</v>
      </c>
      <c r="F96" s="5" t="n">
        <v>31.93</v>
      </c>
      <c r="G96" s="6" t="n">
        <v>640</v>
      </c>
      <c r="H96" s="6" t="n">
        <v>650</v>
      </c>
      <c r="I96" s="6"/>
      <c r="J96" s="6" t="n">
        <v>20</v>
      </c>
      <c r="K96" s="6" t="n">
        <f aca="false">IF($F96="","",$F96*$H96)</f>
        <v>20754.5</v>
      </c>
      <c r="L96" s="6" t="n">
        <f aca="false">IFERROR(ROUND($F96*$G96,-1),"")</f>
        <v>20440</v>
      </c>
      <c r="M96" s="4"/>
      <c r="N96" s="5" t="n">
        <f aca="false">IF($F96="","",IF(N($I96)&gt;0,$F96,0))</f>
        <v>0</v>
      </c>
      <c r="O96" s="6" t="n">
        <f aca="false">IF($F96="","",N($N96)*N($I96))</f>
        <v>0</v>
      </c>
      <c r="P96" s="6" t="str">
        <f aca="false">IF(OR($C96=P$1,$C96="Titan Rocks"),$K96,"")</f>
        <v/>
      </c>
      <c r="Q96" s="6" t="n">
        <f aca="false">IF($C96=Q$1,$K96,"")</f>
        <v>20754.5</v>
      </c>
      <c r="R96" s="5" t="n">
        <f aca="false">IF($C96=Q$1,$F96,"")</f>
        <v>31.93</v>
      </c>
      <c r="S96" s="6" t="str">
        <f aca="false">IF($C96=S$1,$K96,"")</f>
        <v/>
      </c>
      <c r="T96" s="5" t="str">
        <f aca="false">IF($C96=S$1,$F96,"")</f>
        <v/>
      </c>
      <c r="U96" s="6" t="str">
        <f aca="false">IF($C96=U$1,$K96,"")</f>
        <v/>
      </c>
      <c r="V96" s="5" t="str">
        <f aca="false">IF($C96=U$1,$F96,"")</f>
        <v/>
      </c>
      <c r="W96" s="6" t="str">
        <f aca="false">IF($C96=W$1,$K96,"")</f>
        <v/>
      </c>
      <c r="X96" s="5" t="str">
        <f aca="false">IF($C96=W$1,$F96,"")</f>
        <v/>
      </c>
      <c r="Y96" s="6" t="str">
        <f aca="false">IF($C96=Y$1,$K96,"")</f>
        <v/>
      </c>
      <c r="Z96" s="5" t="str">
        <f aca="false">IF($C96=Y$1,$F96,"")</f>
        <v/>
      </c>
      <c r="AA96" s="6" t="str">
        <f aca="false">IF($C96=AA$1,$K96,"")</f>
        <v/>
      </c>
      <c r="AB96" s="5" t="str">
        <f aca="false">IF($C96=AA$1,$F96,"")</f>
        <v/>
      </c>
      <c r="AC96" s="6" t="str">
        <f aca="false">IF($C96=AC$1,$K96,"")</f>
        <v/>
      </c>
      <c r="AD96" s="5" t="str">
        <f aca="false">IF($C96=AC$1,$F96,"")</f>
        <v/>
      </c>
      <c r="AE96" s="6" t="str">
        <f aca="false">IF($C96=AE$1,$K96,"")</f>
        <v/>
      </c>
      <c r="AF96" s="5" t="str">
        <f aca="false">IF($C96=AE$1,$F96,"")</f>
        <v/>
      </c>
      <c r="AG96" s="6" t="str">
        <f aca="false">IF($C96=AG$1,$K96,"")</f>
        <v/>
      </c>
      <c r="AH96" s="5" t="str">
        <f aca="false">IF($C96=AG$1,$F96,"")</f>
        <v/>
      </c>
      <c r="AI96" s="6" t="str">
        <f aca="false">IF($C96=AI$1,$K96,"")</f>
        <v/>
      </c>
      <c r="AJ96" s="5" t="str">
        <f aca="false">IF($C96=AI$1,$F96,"")</f>
        <v/>
      </c>
      <c r="AK96" s="6" t="str">
        <f aca="false">IF($C96=AK$1,$K96,"")</f>
        <v/>
      </c>
      <c r="AL96" s="5" t="str">
        <f aca="false">IF($C96=AK$1,$F96,"")</f>
        <v/>
      </c>
      <c r="AM96" s="6" t="str">
        <f aca="false">IF($C96=AM$1,$K96,"")</f>
        <v/>
      </c>
      <c r="AN96" s="5" t="str">
        <f aca="false">IF($C96=AM$1,$F96,"")</f>
        <v/>
      </c>
      <c r="AO96" s="6" t="str">
        <f aca="false">IF($C96=AO$1,$K96,"")</f>
        <v/>
      </c>
      <c r="AP96" s="5" t="str">
        <f aca="false">IF($C96=AO$1,$F96,"")</f>
        <v/>
      </c>
      <c r="AQ96" s="5" t="n">
        <f aca="false">IF($F96="",0,IF($D96=AQ$1,$F96,0))</f>
        <v>31.93</v>
      </c>
      <c r="AR96" s="6" t="n">
        <f aca="false">IF($D96=AQ$1,N($K96)-N($L96)-N($O96),0)</f>
        <v>314.5</v>
      </c>
      <c r="AS96" s="5" t="n">
        <f aca="false">IF($F96="",0,IF($D96=AS$1,$F96,0))</f>
        <v>0</v>
      </c>
      <c r="AT96" s="6" t="n">
        <f aca="false">IF($D96=AS$1,N($K96)-N($L96)-N($O96),0)</f>
        <v>0</v>
      </c>
      <c r="AU96" s="5" t="n">
        <f aca="false">IF(N($J96)&gt;0,N($F96),0)</f>
        <v>31.93</v>
      </c>
      <c r="AV96" s="6" t="n">
        <f aca="false">IF(N($J96)&gt;0,$F96*$J96,0)</f>
        <v>638.6</v>
      </c>
    </row>
    <row r="97" customFormat="false" ht="15" hidden="false" customHeight="false" outlineLevel="0" collapsed="false">
      <c r="A97" s="16" t="n">
        <v>46091</v>
      </c>
      <c r="B97" s="4" t="s">
        <v>232</v>
      </c>
      <c r="C97" s="4" t="s">
        <v>16</v>
      </c>
      <c r="D97" s="4" t="s">
        <v>68</v>
      </c>
      <c r="E97" s="4" t="n">
        <f aca="false">E96+1</f>
        <v>95</v>
      </c>
      <c r="F97" s="5" t="n">
        <v>32.7</v>
      </c>
      <c r="G97" s="6" t="n">
        <v>610</v>
      </c>
      <c r="H97" s="6" t="n">
        <v>900</v>
      </c>
      <c r="I97" s="6" t="n">
        <v>250</v>
      </c>
      <c r="J97" s="6" t="n">
        <v>20</v>
      </c>
      <c r="K97" s="6" t="n">
        <f aca="false">IF($F97="","",$F97*$H97)</f>
        <v>29430</v>
      </c>
      <c r="L97" s="6" t="n">
        <f aca="false">IFERROR(ROUND($F97*$G97,-1),"")</f>
        <v>19950</v>
      </c>
      <c r="M97" s="4" t="s">
        <v>36</v>
      </c>
      <c r="N97" s="5" t="n">
        <f aca="false">IF($F97="","",IF(N($I97)&gt;0,$F97,0))</f>
        <v>32.7</v>
      </c>
      <c r="O97" s="6" t="n">
        <f aca="false">IF($F97="","",N($N97)*N($I97))</f>
        <v>8175</v>
      </c>
      <c r="P97" s="6" t="str">
        <f aca="false">IF(OR($C97=P$1,$C97="Titan Rocks"),$K97,"")</f>
        <v/>
      </c>
      <c r="Q97" s="6" t="str">
        <f aca="false">IF($C97=Q$1,$K97,"")</f>
        <v/>
      </c>
      <c r="R97" s="5" t="str">
        <f aca="false">IF($C97=Q$1,$F97,"")</f>
        <v/>
      </c>
      <c r="S97" s="6" t="n">
        <f aca="false">IF($C97=S$1,$K97,"")</f>
        <v>29430</v>
      </c>
      <c r="T97" s="5" t="n">
        <f aca="false">IF($C97=S$1,$F97,"")</f>
        <v>32.7</v>
      </c>
      <c r="U97" s="6" t="str">
        <f aca="false">IF($C97=U$1,$K97,"")</f>
        <v/>
      </c>
      <c r="V97" s="5" t="str">
        <f aca="false">IF($C97=U$1,$F97,"")</f>
        <v/>
      </c>
      <c r="W97" s="6" t="str">
        <f aca="false">IF($C97=W$1,$K97,"")</f>
        <v/>
      </c>
      <c r="X97" s="5" t="str">
        <f aca="false">IF($C97=W$1,$F97,"")</f>
        <v/>
      </c>
      <c r="Y97" s="6" t="str">
        <f aca="false">IF($C97=Y$1,$K97,"")</f>
        <v/>
      </c>
      <c r="Z97" s="5" t="str">
        <f aca="false">IF($C97=Y$1,$F97,"")</f>
        <v/>
      </c>
      <c r="AA97" s="6" t="str">
        <f aca="false">IF($C97=AA$1,$K97,"")</f>
        <v/>
      </c>
      <c r="AB97" s="5" t="str">
        <f aca="false">IF($C97=AA$1,$F97,"")</f>
        <v/>
      </c>
      <c r="AC97" s="6" t="str">
        <f aca="false">IF($C97=AC$1,$K97,"")</f>
        <v/>
      </c>
      <c r="AD97" s="5" t="str">
        <f aca="false">IF($C97=AC$1,$F97,"")</f>
        <v/>
      </c>
      <c r="AE97" s="6" t="str">
        <f aca="false">IF($C97=AE$1,$K97,"")</f>
        <v/>
      </c>
      <c r="AF97" s="5" t="str">
        <f aca="false">IF($C97=AE$1,$F97,"")</f>
        <v/>
      </c>
      <c r="AG97" s="6" t="str">
        <f aca="false">IF($C97=AG$1,$K97,"")</f>
        <v/>
      </c>
      <c r="AH97" s="5" t="str">
        <f aca="false">IF($C97=AG$1,$F97,"")</f>
        <v/>
      </c>
      <c r="AI97" s="6" t="str">
        <f aca="false">IF($C97=AI$1,$K97,"")</f>
        <v/>
      </c>
      <c r="AJ97" s="5" t="str">
        <f aca="false">IF($C97=AI$1,$F97,"")</f>
        <v/>
      </c>
      <c r="AK97" s="6" t="str">
        <f aca="false">IF($C97=AK$1,$K97,"")</f>
        <v/>
      </c>
      <c r="AL97" s="5" t="str">
        <f aca="false">IF($C97=AK$1,$F97,"")</f>
        <v/>
      </c>
      <c r="AM97" s="6" t="str">
        <f aca="false">IF($C97=AM$1,$K97,"")</f>
        <v/>
      </c>
      <c r="AN97" s="5" t="str">
        <f aca="false">IF($C97=AM$1,$F97,"")</f>
        <v/>
      </c>
      <c r="AO97" s="6" t="str">
        <f aca="false">IF($C97=AO$1,$K97,"")</f>
        <v/>
      </c>
      <c r="AP97" s="5" t="str">
        <f aca="false">IF($C97=AO$1,$F97,"")</f>
        <v/>
      </c>
      <c r="AQ97" s="5" t="n">
        <f aca="false">IF($F97="",0,IF($D97=AQ$1,$F97,0))</f>
        <v>0</v>
      </c>
      <c r="AR97" s="6" t="n">
        <f aca="false">IF($D97=AQ$1,N($K97)-N($L97)-N($O97),0)</f>
        <v>0</v>
      </c>
      <c r="AS97" s="5" t="n">
        <f aca="false">IF($F97="",0,IF($D97=AS$1,$F97,0))</f>
        <v>32.7</v>
      </c>
      <c r="AT97" s="6" t="n">
        <f aca="false">IF($D97=AS$1,N($K97)-N($L97)-N($O97),0)</f>
        <v>1305</v>
      </c>
      <c r="AU97" s="5" t="n">
        <f aca="false">IF(N($J97)&gt;0,N($F97),0)</f>
        <v>32.7</v>
      </c>
      <c r="AV97" s="6" t="n">
        <f aca="false">IF(N($J97)&gt;0,$F97*$J97,0)</f>
        <v>654</v>
      </c>
    </row>
    <row r="98" customFormat="false" ht="15" hidden="false" customHeight="false" outlineLevel="0" collapsed="false">
      <c r="A98" s="16" t="n">
        <v>46091</v>
      </c>
      <c r="B98" s="4" t="s">
        <v>232</v>
      </c>
      <c r="C98" s="4" t="s">
        <v>27</v>
      </c>
      <c r="D98" s="4" t="s">
        <v>67</v>
      </c>
      <c r="E98" s="4" t="n">
        <f aca="false">E97+1</f>
        <v>96</v>
      </c>
      <c r="F98" s="5" t="n">
        <v>32.51</v>
      </c>
      <c r="G98" s="6" t="n">
        <v>640</v>
      </c>
      <c r="H98" s="6" t="n">
        <v>645</v>
      </c>
      <c r="I98" s="6" t="n">
        <v>0</v>
      </c>
      <c r="J98" s="6" t="n">
        <v>20</v>
      </c>
      <c r="K98" s="6" t="n">
        <f aca="false">IF($F98="","",$F98*$H98)</f>
        <v>20968.95</v>
      </c>
      <c r="L98" s="6" t="n">
        <f aca="false">IFERROR(ROUND($F98*$G98,-1),"")</f>
        <v>20810</v>
      </c>
      <c r="M98" s="4" t="s">
        <v>37</v>
      </c>
      <c r="N98" s="5" t="n">
        <f aca="false">IF($F98="","",IF(N($I98)&gt;0,$F98,0))</f>
        <v>0</v>
      </c>
      <c r="O98" s="6" t="n">
        <f aca="false">IF($F98="","",N($N98)*N($I98))</f>
        <v>0</v>
      </c>
      <c r="P98" s="6" t="str">
        <f aca="false">IF(OR($C98=P$1,$C98="Titan Rocks"),$K98,"")</f>
        <v/>
      </c>
      <c r="Q98" s="6" t="str">
        <f aca="false">IF($C98=Q$1,$K98,"")</f>
        <v/>
      </c>
      <c r="R98" s="5" t="str">
        <f aca="false">IF($C98=Q$1,$F98,"")</f>
        <v/>
      </c>
      <c r="S98" s="6" t="str">
        <f aca="false">IF($C98=S$1,$K98,"")</f>
        <v/>
      </c>
      <c r="T98" s="5" t="str">
        <f aca="false">IF($C98=S$1,$F98,"")</f>
        <v/>
      </c>
      <c r="U98" s="6" t="str">
        <f aca="false">IF($C98=U$1,$K98,"")</f>
        <v/>
      </c>
      <c r="V98" s="5" t="str">
        <f aca="false">IF($C98=U$1,$F98,"")</f>
        <v/>
      </c>
      <c r="W98" s="6" t="str">
        <f aca="false">IF($C98=W$1,$K98,"")</f>
        <v/>
      </c>
      <c r="X98" s="5" t="str">
        <f aca="false">IF($C98=W$1,$F98,"")</f>
        <v/>
      </c>
      <c r="Y98" s="6" t="str">
        <f aca="false">IF($C98=Y$1,$K98,"")</f>
        <v/>
      </c>
      <c r="Z98" s="5" t="str">
        <f aca="false">IF($C98=Y$1,$F98,"")</f>
        <v/>
      </c>
      <c r="AA98" s="6" t="str">
        <f aca="false">IF($C98=AA$1,$K98,"")</f>
        <v/>
      </c>
      <c r="AB98" s="5" t="str">
        <f aca="false">IF($C98=AA$1,$F98,"")</f>
        <v/>
      </c>
      <c r="AC98" s="6" t="str">
        <f aca="false">IF($C98=AC$1,$K98,"")</f>
        <v/>
      </c>
      <c r="AD98" s="5" t="str">
        <f aca="false">IF($C98=AC$1,$F98,"")</f>
        <v/>
      </c>
      <c r="AE98" s="6" t="str">
        <f aca="false">IF($C98=AE$1,$K98,"")</f>
        <v/>
      </c>
      <c r="AF98" s="5" t="str">
        <f aca="false">IF($C98=AE$1,$F98,"")</f>
        <v/>
      </c>
      <c r="AG98" s="6" t="str">
        <f aca="false">IF($C98=AG$1,$K98,"")</f>
        <v/>
      </c>
      <c r="AH98" s="5" t="str">
        <f aca="false">IF($C98=AG$1,$F98,"")</f>
        <v/>
      </c>
      <c r="AI98" s="6" t="str">
        <f aca="false">IF($C98=AI$1,$K98,"")</f>
        <v/>
      </c>
      <c r="AJ98" s="5" t="str">
        <f aca="false">IF($C98=AI$1,$F98,"")</f>
        <v/>
      </c>
      <c r="AK98" s="6" t="str">
        <f aca="false">IF($C98=AK$1,$K98,"")</f>
        <v/>
      </c>
      <c r="AL98" s="5" t="str">
        <f aca="false">IF($C98=AK$1,$F98,"")</f>
        <v/>
      </c>
      <c r="AM98" s="6" t="str">
        <f aca="false">IF($C98=AM$1,$K98,"")</f>
        <v/>
      </c>
      <c r="AN98" s="5" t="str">
        <f aca="false">IF($C98=AM$1,$F98,"")</f>
        <v/>
      </c>
      <c r="AO98" s="6" t="n">
        <f aca="false">IF($C98=AO$1,$K98,"")</f>
        <v>20968.95</v>
      </c>
      <c r="AP98" s="5" t="n">
        <f aca="false">IF($C98=AO$1,$F98,"")</f>
        <v>32.51</v>
      </c>
      <c r="AQ98" s="5" t="n">
        <f aca="false">IF($F98="",0,IF($D98=AQ$1,$F98,0))</f>
        <v>32.51</v>
      </c>
      <c r="AR98" s="6" t="n">
        <f aca="false">IF($D98=AQ$1,N($K98)-N($L98)-N($O98),0)</f>
        <v>158.949999999997</v>
      </c>
      <c r="AS98" s="5" t="n">
        <f aca="false">IF($F98="",0,IF($D98=AS$1,$F98,0))</f>
        <v>0</v>
      </c>
      <c r="AT98" s="6" t="n">
        <f aca="false">IF($D98=AS$1,N($K98)-N($L98)-N($O98),0)</f>
        <v>0</v>
      </c>
      <c r="AU98" s="5" t="n">
        <f aca="false">IF(N($J98)&gt;0,N($F98),0)</f>
        <v>32.51</v>
      </c>
      <c r="AV98" s="6" t="n">
        <f aca="false">IF(N($J98)&gt;0,$F98*$J98,0)</f>
        <v>650.2</v>
      </c>
    </row>
    <row r="99" customFormat="false" ht="15" hidden="false" customHeight="false" outlineLevel="0" collapsed="false">
      <c r="A99" s="16" t="n">
        <v>46091</v>
      </c>
      <c r="B99" s="4" t="s">
        <v>232</v>
      </c>
      <c r="C99" s="4" t="s">
        <v>27</v>
      </c>
      <c r="D99" s="4" t="s">
        <v>67</v>
      </c>
      <c r="E99" s="4" t="n">
        <f aca="false">E98+1</f>
        <v>97</v>
      </c>
      <c r="F99" s="5" t="n">
        <v>31.17</v>
      </c>
      <c r="G99" s="6" t="n">
        <v>640</v>
      </c>
      <c r="H99" s="6" t="n">
        <v>645</v>
      </c>
      <c r="I99" s="6" t="n">
        <v>0</v>
      </c>
      <c r="J99" s="6" t="n">
        <v>20</v>
      </c>
      <c r="K99" s="6" t="n">
        <f aca="false">IF($F99="","",$F99*$H99)</f>
        <v>20104.65</v>
      </c>
      <c r="L99" s="6" t="n">
        <f aca="false">IFERROR(ROUND($F99*$G99,-1),"")</f>
        <v>19950</v>
      </c>
      <c r="M99" s="4" t="s">
        <v>38</v>
      </c>
      <c r="N99" s="5" t="n">
        <f aca="false">IF($F99="","",IF(N($I99)&gt;0,$F99,0))</f>
        <v>0</v>
      </c>
      <c r="O99" s="6" t="n">
        <f aca="false">IF($F99="","",N($N99)*N($I99))</f>
        <v>0</v>
      </c>
      <c r="P99" s="6" t="str">
        <f aca="false">IF(OR($C99=P$1,$C99="Titan Rocks"),$K99,"")</f>
        <v/>
      </c>
      <c r="Q99" s="6" t="str">
        <f aca="false">IF($C99=Q$1,$K99,"")</f>
        <v/>
      </c>
      <c r="R99" s="5" t="str">
        <f aca="false">IF($C99=Q$1,$F99,"")</f>
        <v/>
      </c>
      <c r="S99" s="6" t="str">
        <f aca="false">IF($C99=S$1,$K99,"")</f>
        <v/>
      </c>
      <c r="T99" s="5" t="str">
        <f aca="false">IF($C99=S$1,$F99,"")</f>
        <v/>
      </c>
      <c r="U99" s="6" t="str">
        <f aca="false">IF($C99=U$1,$K99,"")</f>
        <v/>
      </c>
      <c r="V99" s="5" t="str">
        <f aca="false">IF($C99=U$1,$F99,"")</f>
        <v/>
      </c>
      <c r="W99" s="6" t="str">
        <f aca="false">IF($C99=W$1,$K99,"")</f>
        <v/>
      </c>
      <c r="X99" s="5" t="str">
        <f aca="false">IF($C99=W$1,$F99,"")</f>
        <v/>
      </c>
      <c r="Y99" s="6" t="str">
        <f aca="false">IF($C99=Y$1,$K99,"")</f>
        <v/>
      </c>
      <c r="Z99" s="5" t="str">
        <f aca="false">IF($C99=Y$1,$F99,"")</f>
        <v/>
      </c>
      <c r="AA99" s="6" t="str">
        <f aca="false">IF($C99=AA$1,$K99,"")</f>
        <v/>
      </c>
      <c r="AB99" s="5" t="str">
        <f aca="false">IF($C99=AA$1,$F99,"")</f>
        <v/>
      </c>
      <c r="AC99" s="6" t="str">
        <f aca="false">IF($C99=AC$1,$K99,"")</f>
        <v/>
      </c>
      <c r="AD99" s="5" t="str">
        <f aca="false">IF($C99=AC$1,$F99,"")</f>
        <v/>
      </c>
      <c r="AE99" s="6" t="str">
        <f aca="false">IF($C99=AE$1,$K99,"")</f>
        <v/>
      </c>
      <c r="AF99" s="5" t="str">
        <f aca="false">IF($C99=AE$1,$F99,"")</f>
        <v/>
      </c>
      <c r="AG99" s="6" t="str">
        <f aca="false">IF($C99=AG$1,$K99,"")</f>
        <v/>
      </c>
      <c r="AH99" s="5" t="str">
        <f aca="false">IF($C99=AG$1,$F99,"")</f>
        <v/>
      </c>
      <c r="AI99" s="6" t="str">
        <f aca="false">IF($C99=AI$1,$K99,"")</f>
        <v/>
      </c>
      <c r="AJ99" s="5" t="str">
        <f aca="false">IF($C99=AI$1,$F99,"")</f>
        <v/>
      </c>
      <c r="AK99" s="6" t="str">
        <f aca="false">IF($C99=AK$1,$K99,"")</f>
        <v/>
      </c>
      <c r="AL99" s="5" t="str">
        <f aca="false">IF($C99=AK$1,$F99,"")</f>
        <v/>
      </c>
      <c r="AM99" s="6" t="str">
        <f aca="false">IF($C99=AM$1,$K99,"")</f>
        <v/>
      </c>
      <c r="AN99" s="5" t="str">
        <f aca="false">IF($C99=AM$1,$F99,"")</f>
        <v/>
      </c>
      <c r="AO99" s="6" t="n">
        <f aca="false">IF($C99=AO$1,$K99,"")</f>
        <v>20104.65</v>
      </c>
      <c r="AP99" s="5" t="n">
        <f aca="false">IF($C99=AO$1,$F99,"")</f>
        <v>31.17</v>
      </c>
      <c r="AQ99" s="5" t="n">
        <f aca="false">IF($F99="",0,IF($D99=AQ$1,$F99,0))</f>
        <v>31.17</v>
      </c>
      <c r="AR99" s="6" t="n">
        <f aca="false">IF($D99=AQ$1,N($K99)-N($L99)-N($O99),0)</f>
        <v>154.650000000001</v>
      </c>
      <c r="AS99" s="5" t="n">
        <f aca="false">IF($F99="",0,IF($D99=AS$1,$F99,0))</f>
        <v>0</v>
      </c>
      <c r="AT99" s="6" t="n">
        <f aca="false">IF($D99=AS$1,N($K99)-N($L99)-N($O99),0)</f>
        <v>0</v>
      </c>
      <c r="AU99" s="5" t="n">
        <f aca="false">IF(N($J99)&gt;0,N($F99),0)</f>
        <v>31.17</v>
      </c>
      <c r="AV99" s="6" t="n">
        <f aca="false">IF(N($J99)&gt;0,$F99*$J99,0)</f>
        <v>623.4</v>
      </c>
    </row>
    <row r="100" customFormat="false" ht="15" hidden="false" customHeight="false" outlineLevel="0" collapsed="false">
      <c r="A100" s="16" t="n">
        <v>46091</v>
      </c>
      <c r="B100" s="4" t="s">
        <v>232</v>
      </c>
      <c r="C100" s="4" t="s">
        <v>24</v>
      </c>
      <c r="D100" s="4" t="s">
        <v>67</v>
      </c>
      <c r="E100" s="4" t="n">
        <f aca="false">E99+1</f>
        <v>98</v>
      </c>
      <c r="F100" s="5" t="n">
        <v>31.14</v>
      </c>
      <c r="G100" s="6" t="n">
        <v>640</v>
      </c>
      <c r="H100" s="6" t="n">
        <v>650</v>
      </c>
      <c r="I100" s="6" t="n">
        <v>0</v>
      </c>
      <c r="J100" s="6" t="n">
        <v>20</v>
      </c>
      <c r="K100" s="6" t="n">
        <f aca="false">IF($F100="","",$F100*$H100)</f>
        <v>20241</v>
      </c>
      <c r="L100" s="6" t="n">
        <f aca="false">IFERROR(ROUND($F100*$G100,-1),"")</f>
        <v>19930</v>
      </c>
      <c r="M100" s="4" t="s">
        <v>39</v>
      </c>
      <c r="N100" s="5" t="n">
        <f aca="false">IF($F100="","",IF(N($I100)&gt;0,$F100,0))</f>
        <v>0</v>
      </c>
      <c r="O100" s="6" t="n">
        <f aca="false">IF($F100="","",N($N100)*N($I100))</f>
        <v>0</v>
      </c>
      <c r="P100" s="6" t="str">
        <f aca="false">IF(OR($C100=P$1,$C100="Titan Rocks"),$K100,"")</f>
        <v/>
      </c>
      <c r="Q100" s="6" t="str">
        <f aca="false">IF($C100=Q$1,$K100,"")</f>
        <v/>
      </c>
      <c r="R100" s="5" t="str">
        <f aca="false">IF($C100=Q$1,$F100,"")</f>
        <v/>
      </c>
      <c r="S100" s="6" t="str">
        <f aca="false">IF($C100=S$1,$K100,"")</f>
        <v/>
      </c>
      <c r="T100" s="5" t="str">
        <f aca="false">IF($C100=S$1,$F100,"")</f>
        <v/>
      </c>
      <c r="U100" s="6" t="str">
        <f aca="false">IF($C100=U$1,$K100,"")</f>
        <v/>
      </c>
      <c r="V100" s="5" t="str">
        <f aca="false">IF($C100=U$1,$F100,"")</f>
        <v/>
      </c>
      <c r="W100" s="6" t="str">
        <f aca="false">IF($C100=W$1,$K100,"")</f>
        <v/>
      </c>
      <c r="X100" s="5" t="str">
        <f aca="false">IF($C100=W$1,$F100,"")</f>
        <v/>
      </c>
      <c r="Y100" s="6" t="str">
        <f aca="false">IF($C100=Y$1,$K100,"")</f>
        <v/>
      </c>
      <c r="Z100" s="5" t="str">
        <f aca="false">IF($C100=Y$1,$F100,"")</f>
        <v/>
      </c>
      <c r="AA100" s="6" t="str">
        <f aca="false">IF($C100=AA$1,$K100,"")</f>
        <v/>
      </c>
      <c r="AB100" s="5" t="str">
        <f aca="false">IF($C100=AA$1,$F100,"")</f>
        <v/>
      </c>
      <c r="AC100" s="6" t="str">
        <f aca="false">IF($C100=AC$1,$K100,"")</f>
        <v/>
      </c>
      <c r="AD100" s="5" t="str">
        <f aca="false">IF($C100=AC$1,$F100,"")</f>
        <v/>
      </c>
      <c r="AE100" s="6" t="str">
        <f aca="false">IF($C100=AE$1,$K100,"")</f>
        <v/>
      </c>
      <c r="AF100" s="5" t="str">
        <f aca="false">IF($C100=AE$1,$F100,"")</f>
        <v/>
      </c>
      <c r="AG100" s="6" t="str">
        <f aca="false">IF($C100=AG$1,$K100,"")</f>
        <v/>
      </c>
      <c r="AH100" s="5" t="str">
        <f aca="false">IF($C100=AG$1,$F100,"")</f>
        <v/>
      </c>
      <c r="AI100" s="6" t="n">
        <f aca="false">IF($C100=AI$1,$K100,"")</f>
        <v>20241</v>
      </c>
      <c r="AJ100" s="5" t="n">
        <f aca="false">IF($C100=AI$1,$F100,"")</f>
        <v>31.14</v>
      </c>
      <c r="AK100" s="6" t="str">
        <f aca="false">IF($C100=AK$1,$K100,"")</f>
        <v/>
      </c>
      <c r="AL100" s="5" t="str">
        <f aca="false">IF($C100=AK$1,$F100,"")</f>
        <v/>
      </c>
      <c r="AM100" s="6" t="str">
        <f aca="false">IF($C100=AM$1,$K100,"")</f>
        <v/>
      </c>
      <c r="AN100" s="5" t="str">
        <f aca="false">IF($C100=AM$1,$F100,"")</f>
        <v/>
      </c>
      <c r="AO100" s="6" t="str">
        <f aca="false">IF($C100=AO$1,$K100,"")</f>
        <v/>
      </c>
      <c r="AP100" s="5" t="str">
        <f aca="false">IF($C100=AO$1,$F100,"")</f>
        <v/>
      </c>
      <c r="AQ100" s="5" t="n">
        <f aca="false">IF($F100="",0,IF($D100=AQ$1,$F100,0))</f>
        <v>31.14</v>
      </c>
      <c r="AR100" s="6" t="n">
        <f aca="false">IF($D100=AQ$1,N($K100)-N($L100)-N($O100),0)</f>
        <v>311</v>
      </c>
      <c r="AS100" s="5" t="n">
        <f aca="false">IF($F100="",0,IF($D100=AS$1,$F100,0))</f>
        <v>0</v>
      </c>
      <c r="AT100" s="6" t="n">
        <f aca="false">IF($D100=AS$1,N($K100)-N($L100)-N($O100),0)</f>
        <v>0</v>
      </c>
      <c r="AU100" s="5" t="n">
        <f aca="false">IF(N($J100)&gt;0,N($F100),0)</f>
        <v>31.14</v>
      </c>
      <c r="AV100" s="6" t="n">
        <f aca="false">IF(N($J100)&gt;0,$F100*$J100,0)</f>
        <v>622.8</v>
      </c>
    </row>
    <row r="101" customFormat="false" ht="15" hidden="false" customHeight="false" outlineLevel="0" collapsed="false">
      <c r="A101" s="16" t="n">
        <v>46091</v>
      </c>
      <c r="B101" s="4" t="s">
        <v>232</v>
      </c>
      <c r="C101" s="4" t="s">
        <v>16</v>
      </c>
      <c r="D101" s="4" t="s">
        <v>67</v>
      </c>
      <c r="E101" s="4" t="n">
        <f aca="false">E100+1</f>
        <v>99</v>
      </c>
      <c r="F101" s="5" t="n">
        <v>30.61</v>
      </c>
      <c r="G101" s="6" t="n">
        <v>640</v>
      </c>
      <c r="H101" s="6" t="n">
        <v>900</v>
      </c>
      <c r="I101" s="6" t="n">
        <v>250</v>
      </c>
      <c r="J101" s="6" t="n">
        <v>20</v>
      </c>
      <c r="K101" s="6" t="n">
        <f aca="false">IF($F101="","",$F101*$H101)</f>
        <v>27549</v>
      </c>
      <c r="L101" s="6" t="n">
        <f aca="false">IFERROR(ROUND($F101*$G101,-1),"")</f>
        <v>19590</v>
      </c>
      <c r="M101" s="4" t="s">
        <v>40</v>
      </c>
      <c r="N101" s="5" t="n">
        <f aca="false">IF($F101="","",IF(N($I101)&gt;0,$F101,0))</f>
        <v>30.61</v>
      </c>
      <c r="O101" s="6" t="n">
        <f aca="false">IF($F101="","",N($N101)*N($I101))</f>
        <v>7652.5</v>
      </c>
      <c r="P101" s="6" t="str">
        <f aca="false">IF(OR($C101=P$1,$C101="Titan Rocks"),$K101,"")</f>
        <v/>
      </c>
      <c r="Q101" s="6" t="str">
        <f aca="false">IF($C101=Q$1,$K101,"")</f>
        <v/>
      </c>
      <c r="R101" s="5" t="str">
        <f aca="false">IF($C101=Q$1,$F101,"")</f>
        <v/>
      </c>
      <c r="S101" s="6" t="n">
        <f aca="false">IF($C101=S$1,$K101,"")</f>
        <v>27549</v>
      </c>
      <c r="T101" s="5" t="n">
        <f aca="false">IF($C101=S$1,$F101,"")</f>
        <v>30.61</v>
      </c>
      <c r="U101" s="6" t="str">
        <f aca="false">IF($C101=U$1,$K101,"")</f>
        <v/>
      </c>
      <c r="V101" s="5" t="str">
        <f aca="false">IF($C101=U$1,$F101,"")</f>
        <v/>
      </c>
      <c r="W101" s="6" t="str">
        <f aca="false">IF($C101=W$1,$K101,"")</f>
        <v/>
      </c>
      <c r="X101" s="5" t="str">
        <f aca="false">IF($C101=W$1,$F101,"")</f>
        <v/>
      </c>
      <c r="Y101" s="6" t="str">
        <f aca="false">IF($C101=Y$1,$K101,"")</f>
        <v/>
      </c>
      <c r="Z101" s="5" t="str">
        <f aca="false">IF($C101=Y$1,$F101,"")</f>
        <v/>
      </c>
      <c r="AA101" s="6" t="str">
        <f aca="false">IF($C101=AA$1,$K101,"")</f>
        <v/>
      </c>
      <c r="AB101" s="5" t="str">
        <f aca="false">IF($C101=AA$1,$F101,"")</f>
        <v/>
      </c>
      <c r="AC101" s="6" t="str">
        <f aca="false">IF($C101=AC$1,$K101,"")</f>
        <v/>
      </c>
      <c r="AD101" s="5" t="str">
        <f aca="false">IF($C101=AC$1,$F101,"")</f>
        <v/>
      </c>
      <c r="AE101" s="6" t="str">
        <f aca="false">IF($C101=AE$1,$K101,"")</f>
        <v/>
      </c>
      <c r="AF101" s="5" t="str">
        <f aca="false">IF($C101=AE$1,$F101,"")</f>
        <v/>
      </c>
      <c r="AG101" s="6" t="str">
        <f aca="false">IF($C101=AG$1,$K101,"")</f>
        <v/>
      </c>
      <c r="AH101" s="5" t="str">
        <f aca="false">IF($C101=AG$1,$F101,"")</f>
        <v/>
      </c>
      <c r="AI101" s="6" t="str">
        <f aca="false">IF($C101=AI$1,$K101,"")</f>
        <v/>
      </c>
      <c r="AJ101" s="5" t="str">
        <f aca="false">IF($C101=AI$1,$F101,"")</f>
        <v/>
      </c>
      <c r="AK101" s="6" t="str">
        <f aca="false">IF($C101=AK$1,$K101,"")</f>
        <v/>
      </c>
      <c r="AL101" s="5" t="str">
        <f aca="false">IF($C101=AK$1,$F101,"")</f>
        <v/>
      </c>
      <c r="AM101" s="6" t="str">
        <f aca="false">IF($C101=AM$1,$K101,"")</f>
        <v/>
      </c>
      <c r="AN101" s="5" t="str">
        <f aca="false">IF($C101=AM$1,$F101,"")</f>
        <v/>
      </c>
      <c r="AO101" s="6" t="str">
        <f aca="false">IF($C101=AO$1,$K101,"")</f>
        <v/>
      </c>
      <c r="AP101" s="5" t="str">
        <f aca="false">IF($C101=AO$1,$F101,"")</f>
        <v/>
      </c>
      <c r="AQ101" s="5" t="n">
        <f aca="false">IF($F101="",0,IF($D101=AQ$1,$F101,0))</f>
        <v>30.61</v>
      </c>
      <c r="AR101" s="6" t="n">
        <f aca="false">IF($D101=AQ$1,N($K101)-N($L101)-N($O101),0)</f>
        <v>306.5</v>
      </c>
      <c r="AS101" s="5" t="n">
        <f aca="false">IF($F101="",0,IF($D101=AS$1,$F101,0))</f>
        <v>0</v>
      </c>
      <c r="AT101" s="6" t="n">
        <f aca="false">IF($D101=AS$1,N($K101)-N($L101)-N($O101),0)</f>
        <v>0</v>
      </c>
      <c r="AU101" s="5" t="n">
        <f aca="false">IF(N($J101)&gt;0,N($F101),0)</f>
        <v>30.61</v>
      </c>
      <c r="AV101" s="6" t="n">
        <f aca="false">IF(N($J101)&gt;0,$F101*$J101,0)</f>
        <v>612.2</v>
      </c>
    </row>
    <row r="102" customFormat="false" ht="15" hidden="false" customHeight="false" outlineLevel="0" collapsed="false">
      <c r="A102" s="16" t="n">
        <v>46091</v>
      </c>
      <c r="B102" s="4" t="s">
        <v>232</v>
      </c>
      <c r="C102" s="4" t="s">
        <v>27</v>
      </c>
      <c r="D102" s="4" t="s">
        <v>67</v>
      </c>
      <c r="E102" s="4" t="n">
        <f aca="false">E101+1</f>
        <v>100</v>
      </c>
      <c r="F102" s="5" t="n">
        <v>33.41</v>
      </c>
      <c r="G102" s="6" t="n">
        <v>640</v>
      </c>
      <c r="H102" s="6" t="n">
        <v>645</v>
      </c>
      <c r="I102" s="6" t="n">
        <v>0</v>
      </c>
      <c r="J102" s="6" t="n">
        <v>20</v>
      </c>
      <c r="K102" s="6" t="n">
        <f aca="false">IF($F102="","",$F102*$H102)</f>
        <v>21549.45</v>
      </c>
      <c r="L102" s="6" t="n">
        <f aca="false">IFERROR(ROUND($F102*$G102,-1),"")</f>
        <v>21380</v>
      </c>
      <c r="M102" s="4" t="s">
        <v>41</v>
      </c>
      <c r="N102" s="5" t="n">
        <f aca="false">IF($F102="","",IF(N($I102)&gt;0,$F102,0))</f>
        <v>0</v>
      </c>
      <c r="O102" s="6" t="n">
        <f aca="false">IF($F102="","",N($N102)*N($I102))</f>
        <v>0</v>
      </c>
      <c r="P102" s="6" t="str">
        <f aca="false">IF(OR($C102=P$1,$C102="Titan Rocks"),$K102,"")</f>
        <v/>
      </c>
      <c r="Q102" s="6" t="str">
        <f aca="false">IF($C102=Q$1,$K102,"")</f>
        <v/>
      </c>
      <c r="R102" s="5" t="str">
        <f aca="false">IF($C102=Q$1,$F102,"")</f>
        <v/>
      </c>
      <c r="S102" s="6" t="str">
        <f aca="false">IF($C102=S$1,$K102,"")</f>
        <v/>
      </c>
      <c r="T102" s="5" t="str">
        <f aca="false">IF($C102=S$1,$F102,"")</f>
        <v/>
      </c>
      <c r="U102" s="6" t="str">
        <f aca="false">IF($C102=U$1,$K102,"")</f>
        <v/>
      </c>
      <c r="V102" s="5" t="str">
        <f aca="false">IF($C102=U$1,$F102,"")</f>
        <v/>
      </c>
      <c r="W102" s="6" t="str">
        <f aca="false">IF($C102=W$1,$K102,"")</f>
        <v/>
      </c>
      <c r="X102" s="5" t="str">
        <f aca="false">IF($C102=W$1,$F102,"")</f>
        <v/>
      </c>
      <c r="Y102" s="6" t="str">
        <f aca="false">IF($C102=Y$1,$K102,"")</f>
        <v/>
      </c>
      <c r="Z102" s="5" t="str">
        <f aca="false">IF($C102=Y$1,$F102,"")</f>
        <v/>
      </c>
      <c r="AA102" s="6" t="str">
        <f aca="false">IF($C102=AA$1,$K102,"")</f>
        <v/>
      </c>
      <c r="AB102" s="5" t="str">
        <f aca="false">IF($C102=AA$1,$F102,"")</f>
        <v/>
      </c>
      <c r="AC102" s="6" t="str">
        <f aca="false">IF($C102=AC$1,$K102,"")</f>
        <v/>
      </c>
      <c r="AD102" s="5" t="str">
        <f aca="false">IF($C102=AC$1,$F102,"")</f>
        <v/>
      </c>
      <c r="AE102" s="6" t="str">
        <f aca="false">IF($C102=AE$1,$K102,"")</f>
        <v/>
      </c>
      <c r="AF102" s="5" t="str">
        <f aca="false">IF($C102=AE$1,$F102,"")</f>
        <v/>
      </c>
      <c r="AG102" s="6" t="str">
        <f aca="false">IF($C102=AG$1,$K102,"")</f>
        <v/>
      </c>
      <c r="AH102" s="5" t="str">
        <f aca="false">IF($C102=AG$1,$F102,"")</f>
        <v/>
      </c>
      <c r="AI102" s="6" t="str">
        <f aca="false">IF($C102=AI$1,$K102,"")</f>
        <v/>
      </c>
      <c r="AJ102" s="5" t="str">
        <f aca="false">IF($C102=AI$1,$F102,"")</f>
        <v/>
      </c>
      <c r="AK102" s="6" t="str">
        <f aca="false">IF($C102=AK$1,$K102,"")</f>
        <v/>
      </c>
      <c r="AL102" s="5" t="str">
        <f aca="false">IF($C102=AK$1,$F102,"")</f>
        <v/>
      </c>
      <c r="AM102" s="6" t="str">
        <f aca="false">IF($C102=AM$1,$K102,"")</f>
        <v/>
      </c>
      <c r="AN102" s="5" t="str">
        <f aca="false">IF($C102=AM$1,$F102,"")</f>
        <v/>
      </c>
      <c r="AO102" s="6" t="n">
        <f aca="false">IF($C102=AO$1,$K102,"")</f>
        <v>21549.45</v>
      </c>
      <c r="AP102" s="5" t="n">
        <f aca="false">IF($C102=AO$1,$F102,"")</f>
        <v>33.41</v>
      </c>
      <c r="AQ102" s="5" t="n">
        <f aca="false">IF($F102="",0,IF($D102=AQ$1,$F102,0))</f>
        <v>33.41</v>
      </c>
      <c r="AR102" s="6" t="n">
        <f aca="false">IF($D102=AQ$1,N($K102)-N($L102)-N($O102),0)</f>
        <v>169.449999999997</v>
      </c>
      <c r="AS102" s="5" t="n">
        <f aca="false">IF($F102="",0,IF($D102=AS$1,$F102,0))</f>
        <v>0</v>
      </c>
      <c r="AT102" s="6" t="n">
        <f aca="false">IF($D102=AS$1,N($K102)-N($L102)-N($O102),0)</f>
        <v>0</v>
      </c>
      <c r="AU102" s="5" t="n">
        <f aca="false">IF(N($J102)&gt;0,N($F102),0)</f>
        <v>33.41</v>
      </c>
      <c r="AV102" s="6" t="n">
        <f aca="false">IF(N($J102)&gt;0,$F102*$J102,0)</f>
        <v>668.2</v>
      </c>
    </row>
    <row r="103" customFormat="false" ht="15" hidden="false" customHeight="false" outlineLevel="0" collapsed="false">
      <c r="A103" s="16" t="n">
        <v>46091</v>
      </c>
      <c r="B103" s="4" t="s">
        <v>232</v>
      </c>
      <c r="C103" s="4" t="s">
        <v>27</v>
      </c>
      <c r="D103" s="4" t="s">
        <v>68</v>
      </c>
      <c r="E103" s="4" t="n">
        <f aca="false">E102+1</f>
        <v>101</v>
      </c>
      <c r="F103" s="5" t="n">
        <v>33.24</v>
      </c>
      <c r="G103" s="6" t="n">
        <v>610</v>
      </c>
      <c r="H103" s="6" t="n">
        <v>645</v>
      </c>
      <c r="I103" s="6" t="n">
        <v>0</v>
      </c>
      <c r="J103" s="6" t="n">
        <v>20</v>
      </c>
      <c r="K103" s="6" t="n">
        <f aca="false">IF($F103="","",$F103*$H103)</f>
        <v>21439.8</v>
      </c>
      <c r="L103" s="6" t="n">
        <f aca="false">IFERROR(ROUND($F103*$G103,-1),"")</f>
        <v>20280</v>
      </c>
      <c r="M103" s="4" t="s">
        <v>42</v>
      </c>
      <c r="N103" s="5" t="n">
        <f aca="false">IF($F103="","",IF(N($I103)&gt;0,$F103,0))</f>
        <v>0</v>
      </c>
      <c r="O103" s="6" t="n">
        <f aca="false">IF($F103="","",N($N103)*N($I103))</f>
        <v>0</v>
      </c>
      <c r="P103" s="6" t="str">
        <f aca="false">IF(OR($C103=P$1,$C103="Titan Rocks"),$K103,"")</f>
        <v/>
      </c>
      <c r="Q103" s="6" t="str">
        <f aca="false">IF($C103=Q$1,$K103,"")</f>
        <v/>
      </c>
      <c r="R103" s="5" t="str">
        <f aca="false">IF($C103=Q$1,$F103,"")</f>
        <v/>
      </c>
      <c r="S103" s="6" t="str">
        <f aca="false">IF($C103=S$1,$K103,"")</f>
        <v/>
      </c>
      <c r="T103" s="5" t="str">
        <f aca="false">IF($C103=S$1,$F103,"")</f>
        <v/>
      </c>
      <c r="U103" s="6" t="str">
        <f aca="false">IF($C103=U$1,$K103,"")</f>
        <v/>
      </c>
      <c r="V103" s="5" t="str">
        <f aca="false">IF($C103=U$1,$F103,"")</f>
        <v/>
      </c>
      <c r="W103" s="6" t="str">
        <f aca="false">IF($C103=W$1,$K103,"")</f>
        <v/>
      </c>
      <c r="X103" s="5" t="str">
        <f aca="false">IF($C103=W$1,$F103,"")</f>
        <v/>
      </c>
      <c r="Y103" s="6" t="str">
        <f aca="false">IF($C103=Y$1,$K103,"")</f>
        <v/>
      </c>
      <c r="Z103" s="5" t="str">
        <f aca="false">IF($C103=Y$1,$F103,"")</f>
        <v/>
      </c>
      <c r="AA103" s="6" t="str">
        <f aca="false">IF($C103=AA$1,$K103,"")</f>
        <v/>
      </c>
      <c r="AB103" s="5" t="str">
        <f aca="false">IF($C103=AA$1,$F103,"")</f>
        <v/>
      </c>
      <c r="AC103" s="6" t="str">
        <f aca="false">IF($C103=AC$1,$K103,"")</f>
        <v/>
      </c>
      <c r="AD103" s="5" t="str">
        <f aca="false">IF($C103=AC$1,$F103,"")</f>
        <v/>
      </c>
      <c r="AE103" s="6" t="str">
        <f aca="false">IF($C103=AE$1,$K103,"")</f>
        <v/>
      </c>
      <c r="AF103" s="5" t="str">
        <f aca="false">IF($C103=AE$1,$F103,"")</f>
        <v/>
      </c>
      <c r="AG103" s="6" t="str">
        <f aca="false">IF($C103=AG$1,$K103,"")</f>
        <v/>
      </c>
      <c r="AH103" s="5" t="str">
        <f aca="false">IF($C103=AG$1,$F103,"")</f>
        <v/>
      </c>
      <c r="AI103" s="6" t="str">
        <f aca="false">IF($C103=AI$1,$K103,"")</f>
        <v/>
      </c>
      <c r="AJ103" s="5" t="str">
        <f aca="false">IF($C103=AI$1,$F103,"")</f>
        <v/>
      </c>
      <c r="AK103" s="6" t="str">
        <f aca="false">IF($C103=AK$1,$K103,"")</f>
        <v/>
      </c>
      <c r="AL103" s="5" t="str">
        <f aca="false">IF($C103=AK$1,$F103,"")</f>
        <v/>
      </c>
      <c r="AM103" s="6" t="str">
        <f aca="false">IF($C103=AM$1,$K103,"")</f>
        <v/>
      </c>
      <c r="AN103" s="5" t="str">
        <f aca="false">IF($C103=AM$1,$F103,"")</f>
        <v/>
      </c>
      <c r="AO103" s="6" t="n">
        <f aca="false">IF($C103=AO$1,$K103,"")</f>
        <v>21439.8</v>
      </c>
      <c r="AP103" s="5" t="n">
        <f aca="false">IF($C103=AO$1,$F103,"")</f>
        <v>33.24</v>
      </c>
      <c r="AQ103" s="5" t="n">
        <f aca="false">IF($F103="",0,IF($D103=AQ$1,$F103,0))</f>
        <v>0</v>
      </c>
      <c r="AR103" s="6" t="n">
        <f aca="false">IF($D103=AQ$1,N($K103)-N($L103)-N($O103),0)</f>
        <v>0</v>
      </c>
      <c r="AS103" s="5" t="n">
        <f aca="false">IF($F103="",0,IF($D103=AS$1,$F103,0))</f>
        <v>33.24</v>
      </c>
      <c r="AT103" s="6" t="n">
        <f aca="false">IF($D103=AS$1,N($K103)-N($L103)-N($O103),0)</f>
        <v>1159.8</v>
      </c>
      <c r="AU103" s="5" t="n">
        <f aca="false">IF(N($J103)&gt;0,N($F103),0)</f>
        <v>33.24</v>
      </c>
      <c r="AV103" s="6" t="n">
        <f aca="false">IF(N($J103)&gt;0,$F103*$J103,0)</f>
        <v>664.8</v>
      </c>
    </row>
    <row r="104" customFormat="false" ht="15" hidden="false" customHeight="false" outlineLevel="0" collapsed="false">
      <c r="A104" s="16" t="n">
        <v>46091</v>
      </c>
      <c r="B104" s="4" t="s">
        <v>232</v>
      </c>
      <c r="C104" s="4" t="s">
        <v>16</v>
      </c>
      <c r="D104" s="4" t="s">
        <v>68</v>
      </c>
      <c r="E104" s="4" t="n">
        <f aca="false">E103+1</f>
        <v>102</v>
      </c>
      <c r="F104" s="5" t="n">
        <v>33.41</v>
      </c>
      <c r="G104" s="6" t="n">
        <v>610</v>
      </c>
      <c r="H104" s="6" t="n">
        <v>900</v>
      </c>
      <c r="I104" s="6" t="n">
        <v>250</v>
      </c>
      <c r="J104" s="6" t="n">
        <v>20</v>
      </c>
      <c r="K104" s="6" t="n">
        <f aca="false">IF($F104="","",$F104*$H104)</f>
        <v>30069</v>
      </c>
      <c r="L104" s="6" t="n">
        <f aca="false">IFERROR(ROUND($F104*$G104,-1),"")</f>
        <v>20380</v>
      </c>
      <c r="M104" s="4" t="s">
        <v>36</v>
      </c>
      <c r="N104" s="5" t="n">
        <f aca="false">IF($F104="","",IF(N($I104)&gt;0,$F104,0))</f>
        <v>33.41</v>
      </c>
      <c r="O104" s="6" t="n">
        <f aca="false">IF($F104="","",N($N104)*N($I104))</f>
        <v>8352.5</v>
      </c>
      <c r="P104" s="6" t="str">
        <f aca="false">IF(OR($C104=P$1,$C104="Titan Rocks"),$K104,"")</f>
        <v/>
      </c>
      <c r="Q104" s="6" t="str">
        <f aca="false">IF($C104=Q$1,$K104,"")</f>
        <v/>
      </c>
      <c r="R104" s="5" t="str">
        <f aca="false">IF($C104=Q$1,$F104,"")</f>
        <v/>
      </c>
      <c r="S104" s="6" t="n">
        <f aca="false">IF($C104=S$1,$K104,"")</f>
        <v>30069</v>
      </c>
      <c r="T104" s="5" t="n">
        <f aca="false">IF($C104=S$1,$F104,"")</f>
        <v>33.41</v>
      </c>
      <c r="U104" s="6" t="str">
        <f aca="false">IF($C104=U$1,$K104,"")</f>
        <v/>
      </c>
      <c r="V104" s="5" t="str">
        <f aca="false">IF($C104=U$1,$F104,"")</f>
        <v/>
      </c>
      <c r="W104" s="6" t="str">
        <f aca="false">IF($C104=W$1,$K104,"")</f>
        <v/>
      </c>
      <c r="X104" s="5" t="str">
        <f aca="false">IF($C104=W$1,$F104,"")</f>
        <v/>
      </c>
      <c r="Y104" s="6" t="str">
        <f aca="false">IF($C104=Y$1,$K104,"")</f>
        <v/>
      </c>
      <c r="Z104" s="5" t="str">
        <f aca="false">IF($C104=Y$1,$F104,"")</f>
        <v/>
      </c>
      <c r="AA104" s="6" t="str">
        <f aca="false">IF($C104=AA$1,$K104,"")</f>
        <v/>
      </c>
      <c r="AB104" s="5" t="str">
        <f aca="false">IF($C104=AA$1,$F104,"")</f>
        <v/>
      </c>
      <c r="AC104" s="6" t="str">
        <f aca="false">IF($C104=AC$1,$K104,"")</f>
        <v/>
      </c>
      <c r="AD104" s="5" t="str">
        <f aca="false">IF($C104=AC$1,$F104,"")</f>
        <v/>
      </c>
      <c r="AE104" s="6" t="str">
        <f aca="false">IF($C104=AE$1,$K104,"")</f>
        <v/>
      </c>
      <c r="AF104" s="5" t="str">
        <f aca="false">IF($C104=AE$1,$F104,"")</f>
        <v/>
      </c>
      <c r="AG104" s="6" t="str">
        <f aca="false">IF($C104=AG$1,$K104,"")</f>
        <v/>
      </c>
      <c r="AH104" s="5" t="str">
        <f aca="false">IF($C104=AG$1,$F104,"")</f>
        <v/>
      </c>
      <c r="AI104" s="6" t="str">
        <f aca="false">IF($C104=AI$1,$K104,"")</f>
        <v/>
      </c>
      <c r="AJ104" s="5" t="str">
        <f aca="false">IF($C104=AI$1,$F104,"")</f>
        <v/>
      </c>
      <c r="AK104" s="6" t="str">
        <f aca="false">IF($C104=AK$1,$K104,"")</f>
        <v/>
      </c>
      <c r="AL104" s="5" t="str">
        <f aca="false">IF($C104=AK$1,$F104,"")</f>
        <v/>
      </c>
      <c r="AM104" s="6" t="str">
        <f aca="false">IF($C104=AM$1,$K104,"")</f>
        <v/>
      </c>
      <c r="AN104" s="5" t="str">
        <f aca="false">IF($C104=AM$1,$F104,"")</f>
        <v/>
      </c>
      <c r="AO104" s="6" t="str">
        <f aca="false">IF($C104=AO$1,$K104,"")</f>
        <v/>
      </c>
      <c r="AP104" s="5" t="str">
        <f aca="false">IF($C104=AO$1,$F104,"")</f>
        <v/>
      </c>
      <c r="AQ104" s="5" t="n">
        <f aca="false">IF($F104="",0,IF($D104=AQ$1,$F104,0))</f>
        <v>0</v>
      </c>
      <c r="AR104" s="6" t="n">
        <f aca="false">IF($D104=AQ$1,N($K104)-N($L104)-N($O104),0)</f>
        <v>0</v>
      </c>
      <c r="AS104" s="5" t="n">
        <f aca="false">IF($F104="",0,IF($D104=AS$1,$F104,0))</f>
        <v>33.41</v>
      </c>
      <c r="AT104" s="6" t="n">
        <f aca="false">IF($D104=AS$1,N($K104)-N($L104)-N($O104),0)</f>
        <v>1336.5</v>
      </c>
      <c r="AU104" s="5" t="n">
        <f aca="false">IF(N($J104)&gt;0,N($F104),0)</f>
        <v>33.41</v>
      </c>
      <c r="AV104" s="6" t="n">
        <f aca="false">IF(N($J104)&gt;0,$F104*$J104,0)</f>
        <v>668.2</v>
      </c>
    </row>
    <row r="105" customFormat="false" ht="15" hidden="false" customHeight="false" outlineLevel="0" collapsed="false">
      <c r="A105" s="16" t="n">
        <v>46091</v>
      </c>
      <c r="B105" s="4" t="s">
        <v>232</v>
      </c>
      <c r="C105" s="4" t="s">
        <v>23</v>
      </c>
      <c r="D105" s="4" t="s">
        <v>68</v>
      </c>
      <c r="E105" s="4" t="n">
        <f aca="false">E104+1</f>
        <v>103</v>
      </c>
      <c r="F105" s="5" t="n">
        <v>23.17</v>
      </c>
      <c r="G105" s="6" t="n">
        <v>610</v>
      </c>
      <c r="H105" s="6" t="n">
        <v>650</v>
      </c>
      <c r="I105" s="6" t="n">
        <v>0</v>
      </c>
      <c r="J105" s="6" t="n">
        <v>20</v>
      </c>
      <c r="K105" s="6" t="n">
        <f aca="false">IF($F105="","",$F105*$H105)</f>
        <v>15060.5</v>
      </c>
      <c r="L105" s="6" t="n">
        <f aca="false">IFERROR(ROUND($F105*$G105,-1),"")</f>
        <v>14130</v>
      </c>
      <c r="M105" s="4" t="s">
        <v>43</v>
      </c>
      <c r="N105" s="5" t="n">
        <f aca="false">IF($F105="","",IF(N($I105)&gt;0,$F105,0))</f>
        <v>0</v>
      </c>
      <c r="O105" s="6" t="n">
        <f aca="false">IF($F105="","",N($N105)*N($I105))</f>
        <v>0</v>
      </c>
      <c r="P105" s="6" t="str">
        <f aca="false">IF(OR($C105=P$1,$C105="Titan Rocks"),$K105,"")</f>
        <v/>
      </c>
      <c r="Q105" s="6" t="str">
        <f aca="false">IF($C105=Q$1,$K105,"")</f>
        <v/>
      </c>
      <c r="R105" s="5" t="str">
        <f aca="false">IF($C105=Q$1,$F105,"")</f>
        <v/>
      </c>
      <c r="S105" s="6" t="str">
        <f aca="false">IF($C105=S$1,$K105,"")</f>
        <v/>
      </c>
      <c r="T105" s="5" t="str">
        <f aca="false">IF($C105=S$1,$F105,"")</f>
        <v/>
      </c>
      <c r="U105" s="6" t="str">
        <f aca="false">IF($C105=U$1,$K105,"")</f>
        <v/>
      </c>
      <c r="V105" s="5" t="str">
        <f aca="false">IF($C105=U$1,$F105,"")</f>
        <v/>
      </c>
      <c r="W105" s="6" t="str">
        <f aca="false">IF($C105=W$1,$K105,"")</f>
        <v/>
      </c>
      <c r="X105" s="5" t="str">
        <f aca="false">IF($C105=W$1,$F105,"")</f>
        <v/>
      </c>
      <c r="Y105" s="6" t="str">
        <f aca="false">IF($C105=Y$1,$K105,"")</f>
        <v/>
      </c>
      <c r="Z105" s="5" t="str">
        <f aca="false">IF($C105=Y$1,$F105,"")</f>
        <v/>
      </c>
      <c r="AA105" s="6" t="str">
        <f aca="false">IF($C105=AA$1,$K105,"")</f>
        <v/>
      </c>
      <c r="AB105" s="5" t="str">
        <f aca="false">IF($C105=AA$1,$F105,"")</f>
        <v/>
      </c>
      <c r="AC105" s="6" t="str">
        <f aca="false">IF($C105=AC$1,$K105,"")</f>
        <v/>
      </c>
      <c r="AD105" s="5" t="str">
        <f aca="false">IF($C105=AC$1,$F105,"")</f>
        <v/>
      </c>
      <c r="AE105" s="6" t="str">
        <f aca="false">IF($C105=AE$1,$K105,"")</f>
        <v/>
      </c>
      <c r="AF105" s="5" t="str">
        <f aca="false">IF($C105=AE$1,$F105,"")</f>
        <v/>
      </c>
      <c r="AG105" s="6" t="n">
        <f aca="false">IF($C105=AG$1,$K105,"")</f>
        <v>15060.5</v>
      </c>
      <c r="AH105" s="5" t="n">
        <f aca="false">IF($C105=AG$1,$F105,"")</f>
        <v>23.17</v>
      </c>
      <c r="AI105" s="6" t="str">
        <f aca="false">IF($C105=AI$1,$K105,"")</f>
        <v/>
      </c>
      <c r="AJ105" s="5" t="str">
        <f aca="false">IF($C105=AI$1,$F105,"")</f>
        <v/>
      </c>
      <c r="AK105" s="6" t="str">
        <f aca="false">IF($C105=AK$1,$K105,"")</f>
        <v/>
      </c>
      <c r="AL105" s="5" t="str">
        <f aca="false">IF($C105=AK$1,$F105,"")</f>
        <v/>
      </c>
      <c r="AM105" s="6" t="str">
        <f aca="false">IF($C105=AM$1,$K105,"")</f>
        <v/>
      </c>
      <c r="AN105" s="5" t="str">
        <f aca="false">IF($C105=AM$1,$F105,"")</f>
        <v/>
      </c>
      <c r="AO105" s="6" t="str">
        <f aca="false">IF($C105=AO$1,$K105,"")</f>
        <v/>
      </c>
      <c r="AP105" s="5" t="str">
        <f aca="false">IF($C105=AO$1,$F105,"")</f>
        <v/>
      </c>
      <c r="AQ105" s="5" t="n">
        <f aca="false">IF($F105="",0,IF($D105=AQ$1,$F105,0))</f>
        <v>0</v>
      </c>
      <c r="AR105" s="6" t="n">
        <f aca="false">IF($D105=AQ$1,N($K105)-N($L105)-N($O105),0)</f>
        <v>0</v>
      </c>
      <c r="AS105" s="5" t="n">
        <f aca="false">IF($F105="",0,IF($D105=AS$1,$F105,0))</f>
        <v>23.17</v>
      </c>
      <c r="AT105" s="6" t="n">
        <f aca="false">IF($D105=AS$1,N($K105)-N($L105)-N($O105),0)</f>
        <v>930.500000000002</v>
      </c>
      <c r="AU105" s="5" t="n">
        <f aca="false">IF(N($J105)&gt;0,N($F105),0)</f>
        <v>23.17</v>
      </c>
      <c r="AV105" s="6" t="n">
        <f aca="false">IF(N($J105)&gt;0,$F105*$J105,0)</f>
        <v>463.4</v>
      </c>
    </row>
    <row r="106" customFormat="false" ht="15" hidden="false" customHeight="false" outlineLevel="0" collapsed="false">
      <c r="A106" s="16" t="n">
        <v>46091</v>
      </c>
      <c r="B106" s="4" t="s">
        <v>232</v>
      </c>
      <c r="C106" s="4" t="s">
        <v>27</v>
      </c>
      <c r="D106" s="4" t="s">
        <v>68</v>
      </c>
      <c r="E106" s="4" t="n">
        <f aca="false">E105+1</f>
        <v>104</v>
      </c>
      <c r="F106" s="5" t="n">
        <v>32.8</v>
      </c>
      <c r="G106" s="6" t="n">
        <v>610</v>
      </c>
      <c r="H106" s="6" t="n">
        <v>645</v>
      </c>
      <c r="I106" s="6" t="n">
        <v>0</v>
      </c>
      <c r="J106" s="6" t="n">
        <v>20</v>
      </c>
      <c r="K106" s="6" t="n">
        <f aca="false">IF($F106="","",$F106*$H106)</f>
        <v>21156</v>
      </c>
      <c r="L106" s="6" t="n">
        <f aca="false">IFERROR(ROUND($F106*$G106,-1),"")</f>
        <v>20010</v>
      </c>
      <c r="M106" s="4" t="s">
        <v>37</v>
      </c>
      <c r="N106" s="5" t="n">
        <f aca="false">IF($F106="","",IF(N($I106)&gt;0,$F106,0))</f>
        <v>0</v>
      </c>
      <c r="O106" s="6" t="n">
        <f aca="false">IF($F106="","",N($N106)*N($I106))</f>
        <v>0</v>
      </c>
      <c r="P106" s="6" t="str">
        <f aca="false">IF(OR($C106=P$1,$C106="Titan Rocks"),$K106,"")</f>
        <v/>
      </c>
      <c r="Q106" s="6" t="str">
        <f aca="false">IF($C106=Q$1,$K106,"")</f>
        <v/>
      </c>
      <c r="R106" s="5" t="str">
        <f aca="false">IF($C106=Q$1,$F106,"")</f>
        <v/>
      </c>
      <c r="S106" s="6" t="str">
        <f aca="false">IF($C106=S$1,$K106,"")</f>
        <v/>
      </c>
      <c r="T106" s="5" t="str">
        <f aca="false">IF($C106=S$1,$F106,"")</f>
        <v/>
      </c>
      <c r="U106" s="6" t="str">
        <f aca="false">IF($C106=U$1,$K106,"")</f>
        <v/>
      </c>
      <c r="V106" s="5" t="str">
        <f aca="false">IF($C106=U$1,$F106,"")</f>
        <v/>
      </c>
      <c r="W106" s="6" t="str">
        <f aca="false">IF($C106=W$1,$K106,"")</f>
        <v/>
      </c>
      <c r="X106" s="5" t="str">
        <f aca="false">IF($C106=W$1,$F106,"")</f>
        <v/>
      </c>
      <c r="Y106" s="6" t="str">
        <f aca="false">IF($C106=Y$1,$K106,"")</f>
        <v/>
      </c>
      <c r="Z106" s="5" t="str">
        <f aca="false">IF($C106=Y$1,$F106,"")</f>
        <v/>
      </c>
      <c r="AA106" s="6" t="str">
        <f aca="false">IF($C106=AA$1,$K106,"")</f>
        <v/>
      </c>
      <c r="AB106" s="5" t="str">
        <f aca="false">IF($C106=AA$1,$F106,"")</f>
        <v/>
      </c>
      <c r="AC106" s="6" t="str">
        <f aca="false">IF($C106=AC$1,$K106,"")</f>
        <v/>
      </c>
      <c r="AD106" s="5" t="str">
        <f aca="false">IF($C106=AC$1,$F106,"")</f>
        <v/>
      </c>
      <c r="AE106" s="6" t="str">
        <f aca="false">IF($C106=AE$1,$K106,"")</f>
        <v/>
      </c>
      <c r="AF106" s="5" t="str">
        <f aca="false">IF($C106=AE$1,$F106,"")</f>
        <v/>
      </c>
      <c r="AG106" s="6" t="str">
        <f aca="false">IF($C106=AG$1,$K106,"")</f>
        <v/>
      </c>
      <c r="AH106" s="5" t="str">
        <f aca="false">IF($C106=AG$1,$F106,"")</f>
        <v/>
      </c>
      <c r="AI106" s="6" t="str">
        <f aca="false">IF($C106=AI$1,$K106,"")</f>
        <v/>
      </c>
      <c r="AJ106" s="5" t="str">
        <f aca="false">IF($C106=AI$1,$F106,"")</f>
        <v/>
      </c>
      <c r="AK106" s="6" t="str">
        <f aca="false">IF($C106=AK$1,$K106,"")</f>
        <v/>
      </c>
      <c r="AL106" s="5" t="str">
        <f aca="false">IF($C106=AK$1,$F106,"")</f>
        <v/>
      </c>
      <c r="AM106" s="6" t="str">
        <f aca="false">IF($C106=AM$1,$K106,"")</f>
        <v/>
      </c>
      <c r="AN106" s="5" t="str">
        <f aca="false">IF($C106=AM$1,$F106,"")</f>
        <v/>
      </c>
      <c r="AO106" s="6" t="n">
        <f aca="false">IF($C106=AO$1,$K106,"")</f>
        <v>21156</v>
      </c>
      <c r="AP106" s="5" t="n">
        <f aca="false">IF($C106=AO$1,$F106,"")</f>
        <v>32.8</v>
      </c>
      <c r="AQ106" s="5" t="n">
        <f aca="false">IF($F106="",0,IF($D106=AQ$1,$F106,0))</f>
        <v>0</v>
      </c>
      <c r="AR106" s="6" t="n">
        <f aca="false">IF($D106=AQ$1,N($K106)-N($L106)-N($O106),0)</f>
        <v>0</v>
      </c>
      <c r="AS106" s="5" t="n">
        <f aca="false">IF($F106="",0,IF($D106=AS$1,$F106,0))</f>
        <v>32.8</v>
      </c>
      <c r="AT106" s="6" t="n">
        <f aca="false">IF($D106=AS$1,N($K106)-N($L106)-N($O106),0)</f>
        <v>1146</v>
      </c>
      <c r="AU106" s="5" t="n">
        <f aca="false">IF(N($J106)&gt;0,N($F106),0)</f>
        <v>32.8</v>
      </c>
      <c r="AV106" s="6" t="n">
        <f aca="false">IF(N($J106)&gt;0,$F106*$J106,0)</f>
        <v>656</v>
      </c>
    </row>
    <row r="107" customFormat="false" ht="15" hidden="false" customHeight="false" outlineLevel="0" collapsed="false">
      <c r="A107" s="16" t="n">
        <v>46091</v>
      </c>
      <c r="B107" s="4" t="s">
        <v>232</v>
      </c>
      <c r="C107" s="4" t="s">
        <v>24</v>
      </c>
      <c r="D107" s="4" t="s">
        <v>68</v>
      </c>
      <c r="E107" s="4" t="n">
        <f aca="false">E106+1</f>
        <v>105</v>
      </c>
      <c r="F107" s="5" t="n">
        <v>31.43</v>
      </c>
      <c r="G107" s="6" t="n">
        <v>610</v>
      </c>
      <c r="H107" s="6" t="n">
        <v>650</v>
      </c>
      <c r="I107" s="6" t="n">
        <v>0</v>
      </c>
      <c r="J107" s="6" t="n">
        <v>20</v>
      </c>
      <c r="K107" s="6" t="n">
        <f aca="false">IF($F107="","",$F107*$H107)</f>
        <v>20429.5</v>
      </c>
      <c r="L107" s="6" t="n">
        <f aca="false">IFERROR(ROUND($F107*$G107,-1),"")</f>
        <v>19170</v>
      </c>
      <c r="M107" s="4" t="s">
        <v>39</v>
      </c>
      <c r="N107" s="5" t="n">
        <f aca="false">IF($F107="","",IF(N($I107)&gt;0,$F107,0))</f>
        <v>0</v>
      </c>
      <c r="O107" s="6" t="n">
        <f aca="false">IF($F107="","",N($N107)*N($I107))</f>
        <v>0</v>
      </c>
      <c r="P107" s="6" t="str">
        <f aca="false">IF(OR($C107=P$1,$C107="Titan Rocks"),$K107,"")</f>
        <v/>
      </c>
      <c r="Q107" s="6" t="str">
        <f aca="false">IF($C107=Q$1,$K107,"")</f>
        <v/>
      </c>
      <c r="R107" s="5" t="str">
        <f aca="false">IF($C107=Q$1,$F107,"")</f>
        <v/>
      </c>
      <c r="S107" s="6" t="str">
        <f aca="false">IF($C107=S$1,$K107,"")</f>
        <v/>
      </c>
      <c r="T107" s="5" t="str">
        <f aca="false">IF($C107=S$1,$F107,"")</f>
        <v/>
      </c>
      <c r="U107" s="6" t="str">
        <f aca="false">IF($C107=U$1,$K107,"")</f>
        <v/>
      </c>
      <c r="V107" s="5" t="str">
        <f aca="false">IF($C107=U$1,$F107,"")</f>
        <v/>
      </c>
      <c r="W107" s="6" t="str">
        <f aca="false">IF($C107=W$1,$K107,"")</f>
        <v/>
      </c>
      <c r="X107" s="5" t="str">
        <f aca="false">IF($C107=W$1,$F107,"")</f>
        <v/>
      </c>
      <c r="Y107" s="6" t="str">
        <f aca="false">IF($C107=Y$1,$K107,"")</f>
        <v/>
      </c>
      <c r="Z107" s="5" t="str">
        <f aca="false">IF($C107=Y$1,$F107,"")</f>
        <v/>
      </c>
      <c r="AA107" s="6" t="str">
        <f aca="false">IF($C107=AA$1,$K107,"")</f>
        <v/>
      </c>
      <c r="AB107" s="5" t="str">
        <f aca="false">IF($C107=AA$1,$F107,"")</f>
        <v/>
      </c>
      <c r="AC107" s="6" t="str">
        <f aca="false">IF($C107=AC$1,$K107,"")</f>
        <v/>
      </c>
      <c r="AD107" s="5" t="str">
        <f aca="false">IF($C107=AC$1,$F107,"")</f>
        <v/>
      </c>
      <c r="AE107" s="6" t="str">
        <f aca="false">IF($C107=AE$1,$K107,"")</f>
        <v/>
      </c>
      <c r="AF107" s="5" t="str">
        <f aca="false">IF($C107=AE$1,$F107,"")</f>
        <v/>
      </c>
      <c r="AG107" s="6" t="str">
        <f aca="false">IF($C107=AG$1,$K107,"")</f>
        <v/>
      </c>
      <c r="AH107" s="5" t="str">
        <f aca="false">IF($C107=AG$1,$F107,"")</f>
        <v/>
      </c>
      <c r="AI107" s="6" t="n">
        <f aca="false">IF($C107=AI$1,$K107,"")</f>
        <v>20429.5</v>
      </c>
      <c r="AJ107" s="5" t="n">
        <f aca="false">IF($C107=AI$1,$F107,"")</f>
        <v>31.43</v>
      </c>
      <c r="AK107" s="6" t="str">
        <f aca="false">IF($C107=AK$1,$K107,"")</f>
        <v/>
      </c>
      <c r="AL107" s="5" t="str">
        <f aca="false">IF($C107=AK$1,$F107,"")</f>
        <v/>
      </c>
      <c r="AM107" s="6" t="str">
        <f aca="false">IF($C107=AM$1,$K107,"")</f>
        <v/>
      </c>
      <c r="AN107" s="5" t="str">
        <f aca="false">IF($C107=AM$1,$F107,"")</f>
        <v/>
      </c>
      <c r="AO107" s="6" t="str">
        <f aca="false">IF($C107=AO$1,$K107,"")</f>
        <v/>
      </c>
      <c r="AP107" s="5" t="str">
        <f aca="false">IF($C107=AO$1,$F107,"")</f>
        <v/>
      </c>
      <c r="AQ107" s="5" t="n">
        <f aca="false">IF($F107="",0,IF($D107=AQ$1,$F107,0))</f>
        <v>0</v>
      </c>
      <c r="AR107" s="6" t="n">
        <f aca="false">IF($D107=AQ$1,N($K107)-N($L107)-N($O107),0)</f>
        <v>0</v>
      </c>
      <c r="AS107" s="5" t="n">
        <f aca="false">IF($F107="",0,IF($D107=AS$1,$F107,0))</f>
        <v>31.43</v>
      </c>
      <c r="AT107" s="6" t="n">
        <f aca="false">IF($D107=AS$1,N($K107)-N($L107)-N($O107),0)</f>
        <v>1259.5</v>
      </c>
      <c r="AU107" s="5" t="n">
        <f aca="false">IF(N($J107)&gt;0,N($F107),0)</f>
        <v>31.43</v>
      </c>
      <c r="AV107" s="6" t="n">
        <f aca="false">IF(N($J107)&gt;0,$F107*$J107,0)</f>
        <v>628.6</v>
      </c>
    </row>
    <row r="108" customFormat="false" ht="15" hidden="false" customHeight="false" outlineLevel="0" collapsed="false">
      <c r="A108" s="16" t="n">
        <v>46091</v>
      </c>
      <c r="B108" s="4" t="s">
        <v>232</v>
      </c>
      <c r="C108" s="4" t="s">
        <v>27</v>
      </c>
      <c r="D108" s="4" t="s">
        <v>68</v>
      </c>
      <c r="E108" s="4" t="n">
        <f aca="false">E107+1</f>
        <v>106</v>
      </c>
      <c r="F108" s="5" t="n">
        <v>32.71</v>
      </c>
      <c r="G108" s="6" t="n">
        <v>610</v>
      </c>
      <c r="H108" s="6" t="n">
        <v>645</v>
      </c>
      <c r="I108" s="6" t="n">
        <v>0</v>
      </c>
      <c r="J108" s="6" t="n">
        <v>20</v>
      </c>
      <c r="K108" s="6" t="n">
        <f aca="false">IF($F108="","",$F108*$H108)</f>
        <v>21097.95</v>
      </c>
      <c r="L108" s="6" t="n">
        <f aca="false">IFERROR(ROUND($F108*$G108,-1),"")</f>
        <v>19950</v>
      </c>
      <c r="M108" s="4" t="s">
        <v>38</v>
      </c>
      <c r="N108" s="5" t="n">
        <f aca="false">IF($F108="","",IF(N($I108)&gt;0,$F108,0))</f>
        <v>0</v>
      </c>
      <c r="O108" s="6" t="n">
        <f aca="false">IF($F108="","",N($N108)*N($I108))</f>
        <v>0</v>
      </c>
      <c r="P108" s="6" t="str">
        <f aca="false">IF(OR($C108=P$1,$C108="Titan Rocks"),$K108,"")</f>
        <v/>
      </c>
      <c r="Q108" s="6" t="str">
        <f aca="false">IF($C108=Q$1,$K108,"")</f>
        <v/>
      </c>
      <c r="R108" s="5" t="str">
        <f aca="false">IF($C108=Q$1,$F108,"")</f>
        <v/>
      </c>
      <c r="S108" s="6" t="str">
        <f aca="false">IF($C108=S$1,$K108,"")</f>
        <v/>
      </c>
      <c r="T108" s="5" t="str">
        <f aca="false">IF($C108=S$1,$F108,"")</f>
        <v/>
      </c>
      <c r="U108" s="6" t="str">
        <f aca="false">IF($C108=U$1,$K108,"")</f>
        <v/>
      </c>
      <c r="V108" s="5" t="str">
        <f aca="false">IF($C108=U$1,$F108,"")</f>
        <v/>
      </c>
      <c r="W108" s="6" t="str">
        <f aca="false">IF($C108=W$1,$K108,"")</f>
        <v/>
      </c>
      <c r="X108" s="5" t="str">
        <f aca="false">IF($C108=W$1,$F108,"")</f>
        <v/>
      </c>
      <c r="Y108" s="6" t="str">
        <f aca="false">IF($C108=Y$1,$K108,"")</f>
        <v/>
      </c>
      <c r="Z108" s="5" t="str">
        <f aca="false">IF($C108=Y$1,$F108,"")</f>
        <v/>
      </c>
      <c r="AA108" s="6" t="str">
        <f aca="false">IF($C108=AA$1,$K108,"")</f>
        <v/>
      </c>
      <c r="AB108" s="5" t="str">
        <f aca="false">IF($C108=AA$1,$F108,"")</f>
        <v/>
      </c>
      <c r="AC108" s="6" t="str">
        <f aca="false">IF($C108=AC$1,$K108,"")</f>
        <v/>
      </c>
      <c r="AD108" s="5" t="str">
        <f aca="false">IF($C108=AC$1,$F108,"")</f>
        <v/>
      </c>
      <c r="AE108" s="6" t="str">
        <f aca="false">IF($C108=AE$1,$K108,"")</f>
        <v/>
      </c>
      <c r="AF108" s="5" t="str">
        <f aca="false">IF($C108=AE$1,$F108,"")</f>
        <v/>
      </c>
      <c r="AG108" s="6" t="str">
        <f aca="false">IF($C108=AG$1,$K108,"")</f>
        <v/>
      </c>
      <c r="AH108" s="5" t="str">
        <f aca="false">IF($C108=AG$1,$F108,"")</f>
        <v/>
      </c>
      <c r="AI108" s="6" t="str">
        <f aca="false">IF($C108=AI$1,$K108,"")</f>
        <v/>
      </c>
      <c r="AJ108" s="5" t="str">
        <f aca="false">IF($C108=AI$1,$F108,"")</f>
        <v/>
      </c>
      <c r="AK108" s="6" t="str">
        <f aca="false">IF($C108=AK$1,$K108,"")</f>
        <v/>
      </c>
      <c r="AL108" s="5" t="str">
        <f aca="false">IF($C108=AK$1,$F108,"")</f>
        <v/>
      </c>
      <c r="AM108" s="6" t="str">
        <f aca="false">IF($C108=AM$1,$K108,"")</f>
        <v/>
      </c>
      <c r="AN108" s="5" t="str">
        <f aca="false">IF($C108=AM$1,$F108,"")</f>
        <v/>
      </c>
      <c r="AO108" s="6" t="n">
        <f aca="false">IF($C108=AO$1,$K108,"")</f>
        <v>21097.95</v>
      </c>
      <c r="AP108" s="5" t="n">
        <f aca="false">IF($C108=AO$1,$F108,"")</f>
        <v>32.71</v>
      </c>
      <c r="AQ108" s="5" t="n">
        <f aca="false">IF($F108="",0,IF($D108=AQ$1,$F108,0))</f>
        <v>0</v>
      </c>
      <c r="AR108" s="6" t="n">
        <f aca="false">IF($D108=AQ$1,N($K108)-N($L108)-N($O108),0)</f>
        <v>0</v>
      </c>
      <c r="AS108" s="5" t="n">
        <f aca="false">IF($F108="",0,IF($D108=AS$1,$F108,0))</f>
        <v>32.71</v>
      </c>
      <c r="AT108" s="6" t="n">
        <f aca="false">IF($D108=AS$1,N($K108)-N($L108)-N($O108),0)</f>
        <v>1147.95</v>
      </c>
      <c r="AU108" s="5" t="n">
        <f aca="false">IF(N($J108)&gt;0,N($F108),0)</f>
        <v>32.71</v>
      </c>
      <c r="AV108" s="6" t="n">
        <f aca="false">IF(N($J108)&gt;0,$F108*$J108,0)</f>
        <v>654.2</v>
      </c>
    </row>
    <row r="109" customFormat="false" ht="15" hidden="false" customHeight="false" outlineLevel="0" collapsed="false">
      <c r="A109" s="16" t="n">
        <v>46091</v>
      </c>
      <c r="B109" s="4" t="s">
        <v>232</v>
      </c>
      <c r="C109" s="4" t="s">
        <v>16</v>
      </c>
      <c r="D109" s="4" t="s">
        <v>68</v>
      </c>
      <c r="E109" s="4" t="n">
        <f aca="false">E108+1</f>
        <v>107</v>
      </c>
      <c r="F109" s="5" t="n">
        <v>37.39</v>
      </c>
      <c r="G109" s="6" t="n">
        <v>610</v>
      </c>
      <c r="H109" s="6" t="n">
        <v>900</v>
      </c>
      <c r="I109" s="6" t="n">
        <v>250</v>
      </c>
      <c r="J109" s="6" t="n">
        <v>20</v>
      </c>
      <c r="K109" s="6" t="n">
        <f aca="false">IF($F109="","",$F109*$H109)</f>
        <v>33651</v>
      </c>
      <c r="L109" s="6" t="n">
        <f aca="false">IFERROR(ROUND($F109*$G109,-1),"")</f>
        <v>22810</v>
      </c>
      <c r="M109" s="4" t="s">
        <v>36</v>
      </c>
      <c r="N109" s="5" t="n">
        <f aca="false">IF($F109="","",IF(N($I109)&gt;0,$F109,0))</f>
        <v>37.39</v>
      </c>
      <c r="O109" s="6" t="n">
        <f aca="false">IF($F109="","",N($N109)*N($I109))</f>
        <v>9347.5</v>
      </c>
      <c r="P109" s="6" t="str">
        <f aca="false">IF(OR($C109=P$1,$C109="Titan Rocks"),$K109,"")</f>
        <v/>
      </c>
      <c r="Q109" s="6" t="str">
        <f aca="false">IF($C109=Q$1,$K109,"")</f>
        <v/>
      </c>
      <c r="R109" s="5" t="str">
        <f aca="false">IF($C109=Q$1,$F109,"")</f>
        <v/>
      </c>
      <c r="S109" s="6" t="n">
        <f aca="false">IF($C109=S$1,$K109,"")</f>
        <v>33651</v>
      </c>
      <c r="T109" s="5" t="n">
        <f aca="false">IF($C109=S$1,$F109,"")</f>
        <v>37.39</v>
      </c>
      <c r="U109" s="6" t="str">
        <f aca="false">IF($C109=U$1,$K109,"")</f>
        <v/>
      </c>
      <c r="V109" s="5" t="str">
        <f aca="false">IF($C109=U$1,$F109,"")</f>
        <v/>
      </c>
      <c r="W109" s="6" t="str">
        <f aca="false">IF($C109=W$1,$K109,"")</f>
        <v/>
      </c>
      <c r="X109" s="5" t="str">
        <f aca="false">IF($C109=W$1,$F109,"")</f>
        <v/>
      </c>
      <c r="Y109" s="6" t="str">
        <f aca="false">IF($C109=Y$1,$K109,"")</f>
        <v/>
      </c>
      <c r="Z109" s="5" t="str">
        <f aca="false">IF($C109=Y$1,$F109,"")</f>
        <v/>
      </c>
      <c r="AA109" s="6" t="str">
        <f aca="false">IF($C109=AA$1,$K109,"")</f>
        <v/>
      </c>
      <c r="AB109" s="5" t="str">
        <f aca="false">IF($C109=AA$1,$F109,"")</f>
        <v/>
      </c>
      <c r="AC109" s="6" t="str">
        <f aca="false">IF($C109=AC$1,$K109,"")</f>
        <v/>
      </c>
      <c r="AD109" s="5" t="str">
        <f aca="false">IF($C109=AC$1,$F109,"")</f>
        <v/>
      </c>
      <c r="AE109" s="6" t="str">
        <f aca="false">IF($C109=AE$1,$K109,"")</f>
        <v/>
      </c>
      <c r="AF109" s="5" t="str">
        <f aca="false">IF($C109=AE$1,$F109,"")</f>
        <v/>
      </c>
      <c r="AG109" s="6" t="str">
        <f aca="false">IF($C109=AG$1,$K109,"")</f>
        <v/>
      </c>
      <c r="AH109" s="5" t="str">
        <f aca="false">IF($C109=AG$1,$F109,"")</f>
        <v/>
      </c>
      <c r="AI109" s="6" t="str">
        <f aca="false">IF($C109=AI$1,$K109,"")</f>
        <v/>
      </c>
      <c r="AJ109" s="5" t="str">
        <f aca="false">IF($C109=AI$1,$F109,"")</f>
        <v/>
      </c>
      <c r="AK109" s="6" t="str">
        <f aca="false">IF($C109=AK$1,$K109,"")</f>
        <v/>
      </c>
      <c r="AL109" s="5" t="str">
        <f aca="false">IF($C109=AK$1,$F109,"")</f>
        <v/>
      </c>
      <c r="AM109" s="6" t="str">
        <f aca="false">IF($C109=AM$1,$K109,"")</f>
        <v/>
      </c>
      <c r="AN109" s="5" t="str">
        <f aca="false">IF($C109=AM$1,$F109,"")</f>
        <v/>
      </c>
      <c r="AO109" s="6" t="str">
        <f aca="false">IF($C109=AO$1,$K109,"")</f>
        <v/>
      </c>
      <c r="AP109" s="5" t="str">
        <f aca="false">IF($C109=AO$1,$F109,"")</f>
        <v/>
      </c>
      <c r="AQ109" s="5" t="n">
        <f aca="false">IF($F109="",0,IF($D109=AQ$1,$F109,0))</f>
        <v>0</v>
      </c>
      <c r="AR109" s="6" t="n">
        <f aca="false">IF($D109=AQ$1,N($K109)-N($L109)-N($O109),0)</f>
        <v>0</v>
      </c>
      <c r="AS109" s="5" t="n">
        <f aca="false">IF($F109="",0,IF($D109=AS$1,$F109,0))</f>
        <v>37.39</v>
      </c>
      <c r="AT109" s="6" t="n">
        <f aca="false">IF($D109=AS$1,N($K109)-N($L109)-N($O109),0)</f>
        <v>1493.5</v>
      </c>
      <c r="AU109" s="5" t="n">
        <f aca="false">IF(N($J109)&gt;0,N($F109),0)</f>
        <v>37.39</v>
      </c>
      <c r="AV109" s="6" t="n">
        <f aca="false">IF(N($J109)&gt;0,$F109*$J109,0)</f>
        <v>747.8</v>
      </c>
    </row>
    <row r="110" customFormat="false" ht="15" hidden="false" customHeight="false" outlineLevel="0" collapsed="false">
      <c r="A110" s="16" t="n">
        <v>46091</v>
      </c>
      <c r="B110" s="4" t="s">
        <v>232</v>
      </c>
      <c r="C110" s="4" t="s">
        <v>27</v>
      </c>
      <c r="D110" s="4" t="s">
        <v>68</v>
      </c>
      <c r="E110" s="4" t="n">
        <f aca="false">E109+1</f>
        <v>108</v>
      </c>
      <c r="F110" s="5" t="n">
        <v>18.2</v>
      </c>
      <c r="G110" s="6" t="n">
        <v>610</v>
      </c>
      <c r="H110" s="6" t="n">
        <v>645</v>
      </c>
      <c r="I110" s="6" t="n">
        <v>0</v>
      </c>
      <c r="J110" s="6" t="n">
        <v>20</v>
      </c>
      <c r="K110" s="6" t="n">
        <f aca="false">IF($F110="","",$F110*$H110)</f>
        <v>11739</v>
      </c>
      <c r="L110" s="6" t="n">
        <f aca="false">IFERROR(ROUND($F110*$G110,-1),"")</f>
        <v>11100</v>
      </c>
      <c r="M110" s="4" t="s">
        <v>44</v>
      </c>
      <c r="N110" s="5" t="n">
        <f aca="false">IF($F110="","",IF(N($I110)&gt;0,$F110,0))</f>
        <v>0</v>
      </c>
      <c r="O110" s="6" t="n">
        <f aca="false">IF($F110="","",N($N110)*N($I110))</f>
        <v>0</v>
      </c>
      <c r="P110" s="6" t="str">
        <f aca="false">IF(OR($C110=P$1,$C110="Titan Rocks"),$K110,"")</f>
        <v/>
      </c>
      <c r="Q110" s="6" t="str">
        <f aca="false">IF($C110=Q$1,$K110,"")</f>
        <v/>
      </c>
      <c r="R110" s="5" t="str">
        <f aca="false">IF($C110=Q$1,$F110,"")</f>
        <v/>
      </c>
      <c r="S110" s="6" t="str">
        <f aca="false">IF($C110=S$1,$K110,"")</f>
        <v/>
      </c>
      <c r="T110" s="5" t="str">
        <f aca="false">IF($C110=S$1,$F110,"")</f>
        <v/>
      </c>
      <c r="U110" s="6" t="str">
        <f aca="false">IF($C110=U$1,$K110,"")</f>
        <v/>
      </c>
      <c r="V110" s="5" t="str">
        <f aca="false">IF($C110=U$1,$F110,"")</f>
        <v/>
      </c>
      <c r="W110" s="6" t="str">
        <f aca="false">IF($C110=W$1,$K110,"")</f>
        <v/>
      </c>
      <c r="X110" s="5" t="str">
        <f aca="false">IF($C110=W$1,$F110,"")</f>
        <v/>
      </c>
      <c r="Y110" s="6" t="str">
        <f aca="false">IF($C110=Y$1,$K110,"")</f>
        <v/>
      </c>
      <c r="Z110" s="5" t="str">
        <f aca="false">IF($C110=Y$1,$F110,"")</f>
        <v/>
      </c>
      <c r="AA110" s="6" t="str">
        <f aca="false">IF($C110=AA$1,$K110,"")</f>
        <v/>
      </c>
      <c r="AB110" s="5" t="str">
        <f aca="false">IF($C110=AA$1,$F110,"")</f>
        <v/>
      </c>
      <c r="AC110" s="6" t="str">
        <f aca="false">IF($C110=AC$1,$K110,"")</f>
        <v/>
      </c>
      <c r="AD110" s="5" t="str">
        <f aca="false">IF($C110=AC$1,$F110,"")</f>
        <v/>
      </c>
      <c r="AE110" s="6" t="str">
        <f aca="false">IF($C110=AE$1,$K110,"")</f>
        <v/>
      </c>
      <c r="AF110" s="5" t="str">
        <f aca="false">IF($C110=AE$1,$F110,"")</f>
        <v/>
      </c>
      <c r="AG110" s="6" t="str">
        <f aca="false">IF($C110=AG$1,$K110,"")</f>
        <v/>
      </c>
      <c r="AH110" s="5" t="str">
        <f aca="false">IF($C110=AG$1,$F110,"")</f>
        <v/>
      </c>
      <c r="AI110" s="6" t="str">
        <f aca="false">IF($C110=AI$1,$K110,"")</f>
        <v/>
      </c>
      <c r="AJ110" s="5" t="str">
        <f aca="false">IF($C110=AI$1,$F110,"")</f>
        <v/>
      </c>
      <c r="AK110" s="6" t="str">
        <f aca="false">IF($C110=AK$1,$K110,"")</f>
        <v/>
      </c>
      <c r="AL110" s="5" t="str">
        <f aca="false">IF($C110=AK$1,$F110,"")</f>
        <v/>
      </c>
      <c r="AM110" s="6" t="str">
        <f aca="false">IF($C110=AM$1,$K110,"")</f>
        <v/>
      </c>
      <c r="AN110" s="5" t="str">
        <f aca="false">IF($C110=AM$1,$F110,"")</f>
        <v/>
      </c>
      <c r="AO110" s="6" t="n">
        <f aca="false">IF($C110=AO$1,$K110,"")</f>
        <v>11739</v>
      </c>
      <c r="AP110" s="5" t="n">
        <f aca="false">IF($C110=AO$1,$F110,"")</f>
        <v>18.2</v>
      </c>
      <c r="AQ110" s="5" t="n">
        <f aca="false">IF($F110="",0,IF($D110=AQ$1,$F110,0))</f>
        <v>0</v>
      </c>
      <c r="AR110" s="6" t="n">
        <f aca="false">IF($D110=AQ$1,N($K110)-N($L110)-N($O110),0)</f>
        <v>0</v>
      </c>
      <c r="AS110" s="5" t="n">
        <f aca="false">IF($F110="",0,IF($D110=AS$1,$F110,0))</f>
        <v>18.2</v>
      </c>
      <c r="AT110" s="6" t="n">
        <f aca="false">IF($D110=AS$1,N($K110)-N($L110)-N($O110),0)</f>
        <v>639</v>
      </c>
      <c r="AU110" s="5" t="n">
        <f aca="false">IF(N($J110)&gt;0,N($F110),0)</f>
        <v>18.2</v>
      </c>
      <c r="AV110" s="6" t="n">
        <f aca="false">IF(N($J110)&gt;0,$F110*$J110,0)</f>
        <v>364</v>
      </c>
    </row>
    <row r="111" customFormat="false" ht="15" hidden="false" customHeight="false" outlineLevel="0" collapsed="false">
      <c r="A111" s="16" t="n">
        <v>46091</v>
      </c>
      <c r="B111" s="4" t="s">
        <v>232</v>
      </c>
      <c r="C111" s="4" t="s">
        <v>16</v>
      </c>
      <c r="D111" s="4" t="s">
        <v>68</v>
      </c>
      <c r="E111" s="4" t="n">
        <f aca="false">E110+1</f>
        <v>109</v>
      </c>
      <c r="F111" s="5" t="n">
        <v>33.54</v>
      </c>
      <c r="G111" s="6" t="n">
        <v>610</v>
      </c>
      <c r="H111" s="6" t="n">
        <v>900</v>
      </c>
      <c r="I111" s="6" t="n">
        <v>250</v>
      </c>
      <c r="J111" s="6" t="n">
        <v>20</v>
      </c>
      <c r="K111" s="6" t="n">
        <f aca="false">IF($F111="","",$F111*$H111)</f>
        <v>30186</v>
      </c>
      <c r="L111" s="6" t="n">
        <f aca="false">IFERROR(ROUND($F111*$G111,-1),"")</f>
        <v>20460</v>
      </c>
      <c r="M111" s="4" t="s">
        <v>40</v>
      </c>
      <c r="N111" s="5" t="n">
        <f aca="false">IF($F111="","",IF(N($I111)&gt;0,$F111,0))</f>
        <v>33.54</v>
      </c>
      <c r="O111" s="6" t="n">
        <f aca="false">IF($F111="","",N($N111)*N($I111))</f>
        <v>8385</v>
      </c>
      <c r="P111" s="6" t="str">
        <f aca="false">IF(OR($C111=P$1,$C111="Titan Rocks"),$K111,"")</f>
        <v/>
      </c>
      <c r="Q111" s="6" t="str">
        <f aca="false">IF($C111=Q$1,$K111,"")</f>
        <v/>
      </c>
      <c r="R111" s="5" t="str">
        <f aca="false">IF($C111=Q$1,$F111,"")</f>
        <v/>
      </c>
      <c r="S111" s="6" t="n">
        <f aca="false">IF($C111=S$1,$K111,"")</f>
        <v>30186</v>
      </c>
      <c r="T111" s="5" t="n">
        <f aca="false">IF($C111=S$1,$F111,"")</f>
        <v>33.54</v>
      </c>
      <c r="U111" s="6" t="str">
        <f aca="false">IF($C111=U$1,$K111,"")</f>
        <v/>
      </c>
      <c r="V111" s="5" t="str">
        <f aca="false">IF($C111=U$1,$F111,"")</f>
        <v/>
      </c>
      <c r="W111" s="6" t="str">
        <f aca="false">IF($C111=W$1,$K111,"")</f>
        <v/>
      </c>
      <c r="X111" s="5" t="str">
        <f aca="false">IF($C111=W$1,$F111,"")</f>
        <v/>
      </c>
      <c r="Y111" s="6" t="str">
        <f aca="false">IF($C111=Y$1,$K111,"")</f>
        <v/>
      </c>
      <c r="Z111" s="5" t="str">
        <f aca="false">IF($C111=Y$1,$F111,"")</f>
        <v/>
      </c>
      <c r="AA111" s="6" t="str">
        <f aca="false">IF($C111=AA$1,$K111,"")</f>
        <v/>
      </c>
      <c r="AB111" s="5" t="str">
        <f aca="false">IF($C111=AA$1,$F111,"")</f>
        <v/>
      </c>
      <c r="AC111" s="6" t="str">
        <f aca="false">IF($C111=AC$1,$K111,"")</f>
        <v/>
      </c>
      <c r="AD111" s="5" t="str">
        <f aca="false">IF($C111=AC$1,$F111,"")</f>
        <v/>
      </c>
      <c r="AE111" s="6" t="str">
        <f aca="false">IF($C111=AE$1,$K111,"")</f>
        <v/>
      </c>
      <c r="AF111" s="5" t="str">
        <f aca="false">IF($C111=AE$1,$F111,"")</f>
        <v/>
      </c>
      <c r="AG111" s="6" t="str">
        <f aca="false">IF($C111=AG$1,$K111,"")</f>
        <v/>
      </c>
      <c r="AH111" s="5" t="str">
        <f aca="false">IF($C111=AG$1,$F111,"")</f>
        <v/>
      </c>
      <c r="AI111" s="6" t="str">
        <f aca="false">IF($C111=AI$1,$K111,"")</f>
        <v/>
      </c>
      <c r="AJ111" s="5" t="str">
        <f aca="false">IF($C111=AI$1,$F111,"")</f>
        <v/>
      </c>
      <c r="AK111" s="6" t="str">
        <f aca="false">IF($C111=AK$1,$K111,"")</f>
        <v/>
      </c>
      <c r="AL111" s="5" t="str">
        <f aca="false">IF($C111=AK$1,$F111,"")</f>
        <v/>
      </c>
      <c r="AM111" s="6" t="str">
        <f aca="false">IF($C111=AM$1,$K111,"")</f>
        <v/>
      </c>
      <c r="AN111" s="5" t="str">
        <f aca="false">IF($C111=AM$1,$F111,"")</f>
        <v/>
      </c>
      <c r="AO111" s="6" t="str">
        <f aca="false">IF($C111=AO$1,$K111,"")</f>
        <v/>
      </c>
      <c r="AP111" s="5" t="str">
        <f aca="false">IF($C111=AO$1,$F111,"")</f>
        <v/>
      </c>
      <c r="AQ111" s="5" t="n">
        <f aca="false">IF($F111="",0,IF($D111=AQ$1,$F111,0))</f>
        <v>0</v>
      </c>
      <c r="AR111" s="6" t="n">
        <f aca="false">IF($D111=AQ$1,N($K111)-N($L111)-N($O111),0)</f>
        <v>0</v>
      </c>
      <c r="AS111" s="5" t="n">
        <f aca="false">IF($F111="",0,IF($D111=AS$1,$F111,0))</f>
        <v>33.54</v>
      </c>
      <c r="AT111" s="6" t="n">
        <f aca="false">IF($D111=AS$1,N($K111)-N($L111)-N($O111),0)</f>
        <v>1341</v>
      </c>
      <c r="AU111" s="5" t="n">
        <f aca="false">IF(N($J111)&gt;0,N($F111),0)</f>
        <v>33.54</v>
      </c>
      <c r="AV111" s="6" t="n">
        <f aca="false">IF(N($J111)&gt;0,$F111*$J111,0)</f>
        <v>670.8</v>
      </c>
    </row>
    <row r="112" customFormat="false" ht="15" hidden="false" customHeight="false" outlineLevel="0" collapsed="false">
      <c r="A112" s="16" t="n">
        <v>46091</v>
      </c>
      <c r="B112" s="4" t="s">
        <v>232</v>
      </c>
      <c r="C112" s="4" t="s">
        <v>23</v>
      </c>
      <c r="D112" s="4" t="s">
        <v>68</v>
      </c>
      <c r="E112" s="4" t="n">
        <f aca="false">E111+1</f>
        <v>110</v>
      </c>
      <c r="F112" s="5" t="n">
        <v>22.94</v>
      </c>
      <c r="G112" s="6" t="n">
        <v>610</v>
      </c>
      <c r="H112" s="6" t="n">
        <v>650</v>
      </c>
      <c r="I112" s="6" t="n">
        <v>0</v>
      </c>
      <c r="J112" s="6" t="n">
        <v>20</v>
      </c>
      <c r="K112" s="6" t="n">
        <f aca="false">IF($F112="","",$F112*$H112)</f>
        <v>14911</v>
      </c>
      <c r="L112" s="6" t="n">
        <f aca="false">IFERROR(ROUND($F112*$G112,-1),"")</f>
        <v>13990</v>
      </c>
      <c r="M112" s="4" t="s">
        <v>43</v>
      </c>
      <c r="N112" s="5" t="n">
        <f aca="false">IF($F112="","",IF(N($I112)&gt;0,$F112,0))</f>
        <v>0</v>
      </c>
      <c r="O112" s="6" t="n">
        <f aca="false">IF($F112="","",N($N112)*N($I112))</f>
        <v>0</v>
      </c>
      <c r="P112" s="6" t="str">
        <f aca="false">IF(OR($C112=P$1,$C112="Titan Rocks"),$K112,"")</f>
        <v/>
      </c>
      <c r="Q112" s="6" t="str">
        <f aca="false">IF($C112=Q$1,$K112,"")</f>
        <v/>
      </c>
      <c r="R112" s="5" t="str">
        <f aca="false">IF($C112=Q$1,$F112,"")</f>
        <v/>
      </c>
      <c r="S112" s="6" t="str">
        <f aca="false">IF($C112=S$1,$K112,"")</f>
        <v/>
      </c>
      <c r="T112" s="5" t="str">
        <f aca="false">IF($C112=S$1,$F112,"")</f>
        <v/>
      </c>
      <c r="U112" s="6" t="str">
        <f aca="false">IF($C112=U$1,$K112,"")</f>
        <v/>
      </c>
      <c r="V112" s="5" t="str">
        <f aca="false">IF($C112=U$1,$F112,"")</f>
        <v/>
      </c>
      <c r="W112" s="6" t="str">
        <f aca="false">IF($C112=W$1,$K112,"")</f>
        <v/>
      </c>
      <c r="X112" s="5" t="str">
        <f aca="false">IF($C112=W$1,$F112,"")</f>
        <v/>
      </c>
      <c r="Y112" s="6" t="str">
        <f aca="false">IF($C112=Y$1,$K112,"")</f>
        <v/>
      </c>
      <c r="Z112" s="5" t="str">
        <f aca="false">IF($C112=Y$1,$F112,"")</f>
        <v/>
      </c>
      <c r="AA112" s="6" t="str">
        <f aca="false">IF($C112=AA$1,$K112,"")</f>
        <v/>
      </c>
      <c r="AB112" s="5" t="str">
        <f aca="false">IF($C112=AA$1,$F112,"")</f>
        <v/>
      </c>
      <c r="AC112" s="6" t="str">
        <f aca="false">IF($C112=AC$1,$K112,"")</f>
        <v/>
      </c>
      <c r="AD112" s="5" t="str">
        <f aca="false">IF($C112=AC$1,$F112,"")</f>
        <v/>
      </c>
      <c r="AE112" s="6" t="str">
        <f aca="false">IF($C112=AE$1,$K112,"")</f>
        <v/>
      </c>
      <c r="AF112" s="5" t="str">
        <f aca="false">IF($C112=AE$1,$F112,"")</f>
        <v/>
      </c>
      <c r="AG112" s="6" t="n">
        <f aca="false">IF($C112=AG$1,$K112,"")</f>
        <v>14911</v>
      </c>
      <c r="AH112" s="5" t="n">
        <f aca="false">IF($C112=AG$1,$F112,"")</f>
        <v>22.94</v>
      </c>
      <c r="AI112" s="6" t="str">
        <f aca="false">IF($C112=AI$1,$K112,"")</f>
        <v/>
      </c>
      <c r="AJ112" s="5" t="str">
        <f aca="false">IF($C112=AI$1,$F112,"")</f>
        <v/>
      </c>
      <c r="AK112" s="6" t="str">
        <f aca="false">IF($C112=AK$1,$K112,"")</f>
        <v/>
      </c>
      <c r="AL112" s="5" t="str">
        <f aca="false">IF($C112=AK$1,$F112,"")</f>
        <v/>
      </c>
      <c r="AM112" s="6" t="str">
        <f aca="false">IF($C112=AM$1,$K112,"")</f>
        <v/>
      </c>
      <c r="AN112" s="5" t="str">
        <f aca="false">IF($C112=AM$1,$F112,"")</f>
        <v/>
      </c>
      <c r="AO112" s="6" t="str">
        <f aca="false">IF($C112=AO$1,$K112,"")</f>
        <v/>
      </c>
      <c r="AP112" s="5" t="str">
        <f aca="false">IF($C112=AO$1,$F112,"")</f>
        <v/>
      </c>
      <c r="AQ112" s="5" t="n">
        <f aca="false">IF($F112="",0,IF($D112=AQ$1,$F112,0))</f>
        <v>0</v>
      </c>
      <c r="AR112" s="6" t="n">
        <f aca="false">IF($D112=AQ$1,N($K112)-N($L112)-N($O112),0)</f>
        <v>0</v>
      </c>
      <c r="AS112" s="5" t="n">
        <f aca="false">IF($F112="",0,IF($D112=AS$1,$F112,0))</f>
        <v>22.94</v>
      </c>
      <c r="AT112" s="6" t="n">
        <f aca="false">IF($D112=AS$1,N($K112)-N($L112)-N($O112),0)</f>
        <v>921</v>
      </c>
      <c r="AU112" s="5" t="n">
        <f aca="false">IF(N($J112)&gt;0,N($F112),0)</f>
        <v>22.94</v>
      </c>
      <c r="AV112" s="6" t="n">
        <f aca="false">IF(N($J112)&gt;0,$F112*$J112,0)</f>
        <v>458.8</v>
      </c>
    </row>
    <row r="113" customFormat="false" ht="15" hidden="false" customHeight="false" outlineLevel="0" collapsed="false">
      <c r="A113" s="16" t="n">
        <v>46091</v>
      </c>
      <c r="B113" s="4" t="s">
        <v>232</v>
      </c>
      <c r="C113" s="4" t="s">
        <v>27</v>
      </c>
      <c r="D113" s="4" t="s">
        <v>68</v>
      </c>
      <c r="E113" s="4" t="n">
        <f aca="false">E112+1</f>
        <v>111</v>
      </c>
      <c r="F113" s="5" t="n">
        <v>32.93</v>
      </c>
      <c r="G113" s="6" t="n">
        <v>610</v>
      </c>
      <c r="H113" s="6" t="n">
        <v>645</v>
      </c>
      <c r="I113" s="6" t="n">
        <v>0</v>
      </c>
      <c r="J113" s="6" t="n">
        <v>20</v>
      </c>
      <c r="K113" s="6" t="n">
        <f aca="false">IF($F113="","",$F113*$H113)</f>
        <v>21239.85</v>
      </c>
      <c r="L113" s="6" t="n">
        <f aca="false">IFERROR(ROUND($F113*$G113,-1),"")</f>
        <v>20090</v>
      </c>
      <c r="M113" s="4" t="s">
        <v>41</v>
      </c>
      <c r="N113" s="5" t="n">
        <f aca="false">IF($F113="","",IF(N($I113)&gt;0,$F113,0))</f>
        <v>0</v>
      </c>
      <c r="O113" s="6" t="n">
        <f aca="false">IF($F113="","",N($N113)*N($I113))</f>
        <v>0</v>
      </c>
      <c r="P113" s="6" t="str">
        <f aca="false">IF(OR($C113=P$1,$C113="Titan Rocks"),$K113,"")</f>
        <v/>
      </c>
      <c r="Q113" s="6" t="str">
        <f aca="false">IF($C113=Q$1,$K113,"")</f>
        <v/>
      </c>
      <c r="R113" s="5" t="str">
        <f aca="false">IF($C113=Q$1,$F113,"")</f>
        <v/>
      </c>
      <c r="S113" s="6" t="str">
        <f aca="false">IF($C113=S$1,$K113,"")</f>
        <v/>
      </c>
      <c r="T113" s="5" t="str">
        <f aca="false">IF($C113=S$1,$F113,"")</f>
        <v/>
      </c>
      <c r="U113" s="6" t="str">
        <f aca="false">IF($C113=U$1,$K113,"")</f>
        <v/>
      </c>
      <c r="V113" s="5" t="str">
        <f aca="false">IF($C113=U$1,$F113,"")</f>
        <v/>
      </c>
      <c r="W113" s="6" t="str">
        <f aca="false">IF($C113=W$1,$K113,"")</f>
        <v/>
      </c>
      <c r="X113" s="5" t="str">
        <f aca="false">IF($C113=W$1,$F113,"")</f>
        <v/>
      </c>
      <c r="Y113" s="6" t="str">
        <f aca="false">IF($C113=Y$1,$K113,"")</f>
        <v/>
      </c>
      <c r="Z113" s="5" t="str">
        <f aca="false">IF($C113=Y$1,$F113,"")</f>
        <v/>
      </c>
      <c r="AA113" s="6" t="str">
        <f aca="false">IF($C113=AA$1,$K113,"")</f>
        <v/>
      </c>
      <c r="AB113" s="5" t="str">
        <f aca="false">IF($C113=AA$1,$F113,"")</f>
        <v/>
      </c>
      <c r="AC113" s="6" t="str">
        <f aca="false">IF($C113=AC$1,$K113,"")</f>
        <v/>
      </c>
      <c r="AD113" s="5" t="str">
        <f aca="false">IF($C113=AC$1,$F113,"")</f>
        <v/>
      </c>
      <c r="AE113" s="6" t="str">
        <f aca="false">IF($C113=AE$1,$K113,"")</f>
        <v/>
      </c>
      <c r="AF113" s="5" t="str">
        <f aca="false">IF($C113=AE$1,$F113,"")</f>
        <v/>
      </c>
      <c r="AG113" s="6" t="str">
        <f aca="false">IF($C113=AG$1,$K113,"")</f>
        <v/>
      </c>
      <c r="AH113" s="5" t="str">
        <f aca="false">IF($C113=AG$1,$F113,"")</f>
        <v/>
      </c>
      <c r="AI113" s="6" t="str">
        <f aca="false">IF($C113=AI$1,$K113,"")</f>
        <v/>
      </c>
      <c r="AJ113" s="5" t="str">
        <f aca="false">IF($C113=AI$1,$F113,"")</f>
        <v/>
      </c>
      <c r="AK113" s="6" t="str">
        <f aca="false">IF($C113=AK$1,$K113,"")</f>
        <v/>
      </c>
      <c r="AL113" s="5" t="str">
        <f aca="false">IF($C113=AK$1,$F113,"")</f>
        <v/>
      </c>
      <c r="AM113" s="6" t="str">
        <f aca="false">IF($C113=AM$1,$K113,"")</f>
        <v/>
      </c>
      <c r="AN113" s="5" t="str">
        <f aca="false">IF($C113=AM$1,$F113,"")</f>
        <v/>
      </c>
      <c r="AO113" s="6" t="n">
        <f aca="false">IF($C113=AO$1,$K113,"")</f>
        <v>21239.85</v>
      </c>
      <c r="AP113" s="5" t="n">
        <f aca="false">IF($C113=AO$1,$F113,"")</f>
        <v>32.93</v>
      </c>
      <c r="AQ113" s="5" t="n">
        <f aca="false">IF($F113="",0,IF($D113=AQ$1,$F113,0))</f>
        <v>0</v>
      </c>
      <c r="AR113" s="6" t="n">
        <f aca="false">IF($D113=AQ$1,N($K113)-N($L113)-N($O113),0)</f>
        <v>0</v>
      </c>
      <c r="AS113" s="5" t="n">
        <f aca="false">IF($F113="",0,IF($D113=AS$1,$F113,0))</f>
        <v>32.93</v>
      </c>
      <c r="AT113" s="6" t="n">
        <f aca="false">IF($D113=AS$1,N($K113)-N($L113)-N($O113),0)</f>
        <v>1149.85</v>
      </c>
      <c r="AU113" s="5" t="n">
        <f aca="false">IF(N($J113)&gt;0,N($F113),0)</f>
        <v>32.93</v>
      </c>
      <c r="AV113" s="6" t="n">
        <f aca="false">IF(N($J113)&gt;0,$F113*$J113,0)</f>
        <v>658.6</v>
      </c>
    </row>
    <row r="114" customFormat="false" ht="15" hidden="false" customHeight="false" outlineLevel="0" collapsed="false">
      <c r="A114" s="16" t="n">
        <v>46232</v>
      </c>
      <c r="B114" s="4" t="s">
        <v>232</v>
      </c>
      <c r="C114" s="4" t="s">
        <v>18</v>
      </c>
      <c r="D114" s="4" t="s">
        <v>68</v>
      </c>
      <c r="E114" s="4" t="n">
        <f aca="false">E113+1</f>
        <v>112</v>
      </c>
      <c r="F114" s="5" t="n">
        <v>32.66</v>
      </c>
      <c r="G114" s="6" t="n">
        <v>610</v>
      </c>
      <c r="H114" s="6" t="n">
        <v>870</v>
      </c>
      <c r="I114" s="6" t="n">
        <v>215</v>
      </c>
      <c r="J114" s="6" t="n">
        <v>20</v>
      </c>
      <c r="K114" s="6" t="n">
        <f aca="false">IF($F114="","",$F114*$H114)</f>
        <v>28414.2</v>
      </c>
      <c r="L114" s="6" t="n">
        <f aca="false">IFERROR(ROUND($F114*$G114,-1),"")</f>
        <v>19920</v>
      </c>
      <c r="M114" s="4" t="s">
        <v>45</v>
      </c>
      <c r="N114" s="5" t="n">
        <f aca="false">IF($F114="","",IF(N($I114)&gt;0,$F114,0))</f>
        <v>32.66</v>
      </c>
      <c r="O114" s="6" t="n">
        <f aca="false">IF($F114="","",N($N114)*N($I114))</f>
        <v>7021.9</v>
      </c>
      <c r="P114" s="6" t="str">
        <f aca="false">IF(OR($C114=P$1,$C114="Titan Rocks"),$K114,"")</f>
        <v/>
      </c>
      <c r="Q114" s="6" t="str">
        <f aca="false">IF($C114=Q$1,$K114,"")</f>
        <v/>
      </c>
      <c r="R114" s="5" t="str">
        <f aca="false">IF($C114=Q$1,$F114,"")</f>
        <v/>
      </c>
      <c r="S114" s="6" t="str">
        <f aca="false">IF($C114=S$1,$K114,"")</f>
        <v/>
      </c>
      <c r="T114" s="5" t="str">
        <f aca="false">IF($C114=S$1,$F114,"")</f>
        <v/>
      </c>
      <c r="U114" s="6" t="str">
        <f aca="false">IF($C114=U$1,$K114,"")</f>
        <v/>
      </c>
      <c r="V114" s="5" t="str">
        <f aca="false">IF($C114=U$1,$F114,"")</f>
        <v/>
      </c>
      <c r="W114" s="6" t="n">
        <f aca="false">IF($C114=W$1,$K114,"")</f>
        <v>28414.2</v>
      </c>
      <c r="X114" s="5" t="n">
        <f aca="false">IF($C114=W$1,$F114,"")</f>
        <v>32.66</v>
      </c>
      <c r="Y114" s="6" t="str">
        <f aca="false">IF($C114=Y$1,$K114,"")</f>
        <v/>
      </c>
      <c r="Z114" s="5" t="str">
        <f aca="false">IF($C114=Y$1,$F114,"")</f>
        <v/>
      </c>
      <c r="AA114" s="6" t="str">
        <f aca="false">IF($C114=AA$1,$K114,"")</f>
        <v/>
      </c>
      <c r="AB114" s="5" t="str">
        <f aca="false">IF($C114=AA$1,$F114,"")</f>
        <v/>
      </c>
      <c r="AC114" s="6" t="str">
        <f aca="false">IF($C114=AC$1,$K114,"")</f>
        <v/>
      </c>
      <c r="AD114" s="5" t="str">
        <f aca="false">IF($C114=AC$1,$F114,"")</f>
        <v/>
      </c>
      <c r="AE114" s="6" t="str">
        <f aca="false">IF($C114=AE$1,$K114,"")</f>
        <v/>
      </c>
      <c r="AF114" s="5" t="str">
        <f aca="false">IF($C114=AE$1,$F114,"")</f>
        <v/>
      </c>
      <c r="AG114" s="6" t="str">
        <f aca="false">IF($C114=AG$1,$K114,"")</f>
        <v/>
      </c>
      <c r="AH114" s="5" t="str">
        <f aca="false">IF($C114=AG$1,$F114,"")</f>
        <v/>
      </c>
      <c r="AI114" s="6" t="str">
        <f aca="false">IF($C114=AI$1,$K114,"")</f>
        <v/>
      </c>
      <c r="AJ114" s="5" t="str">
        <f aca="false">IF($C114=AI$1,$F114,"")</f>
        <v/>
      </c>
      <c r="AK114" s="6" t="str">
        <f aca="false">IF($C114=AK$1,$K114,"")</f>
        <v/>
      </c>
      <c r="AL114" s="5" t="str">
        <f aca="false">IF($C114=AK$1,$F114,"")</f>
        <v/>
      </c>
      <c r="AM114" s="6" t="str">
        <f aca="false">IF($C114=AM$1,$K114,"")</f>
        <v/>
      </c>
      <c r="AN114" s="5" t="str">
        <f aca="false">IF($C114=AM$1,$F114,"")</f>
        <v/>
      </c>
      <c r="AO114" s="6" t="str">
        <f aca="false">IF($C114=AO$1,$K114,"")</f>
        <v/>
      </c>
      <c r="AP114" s="5" t="str">
        <f aca="false">IF($C114=AO$1,$F114,"")</f>
        <v/>
      </c>
      <c r="AQ114" s="5" t="n">
        <f aca="false">IF($F114="",0,IF($D114=AQ$1,$F114,0))</f>
        <v>0</v>
      </c>
      <c r="AR114" s="6" t="n">
        <f aca="false">IF($D114=AQ$1,N($K114)-N($L114)-N($O114),0)</f>
        <v>0</v>
      </c>
      <c r="AS114" s="5" t="n">
        <f aca="false">IF($F114="",0,IF($D114=AS$1,$F114,0))</f>
        <v>32.66</v>
      </c>
      <c r="AT114" s="6" t="n">
        <f aca="false">IF($D114=AS$1,N($K114)-N($L114)-N($O114),0)</f>
        <v>1472.3</v>
      </c>
      <c r="AU114" s="5" t="n">
        <f aca="false">IF(N($J114)&gt;0,N($F114),0)</f>
        <v>32.66</v>
      </c>
      <c r="AV114" s="6" t="n">
        <f aca="false">IF(N($J114)&gt;0,$F114*$J114,0)</f>
        <v>653.2</v>
      </c>
    </row>
    <row r="115" customFormat="false" ht="15" hidden="false" customHeight="false" outlineLevel="0" collapsed="false">
      <c r="A115" s="16" t="n">
        <v>46232</v>
      </c>
      <c r="B115" s="4" t="s">
        <v>232</v>
      </c>
      <c r="C115" s="4" t="s">
        <v>18</v>
      </c>
      <c r="D115" s="4" t="s">
        <v>68</v>
      </c>
      <c r="E115" s="4" t="n">
        <f aca="false">E114+1</f>
        <v>113</v>
      </c>
      <c r="F115" s="5" t="n">
        <v>32.25</v>
      </c>
      <c r="G115" s="6" t="n">
        <v>610</v>
      </c>
      <c r="H115" s="6" t="n">
        <v>870</v>
      </c>
      <c r="I115" s="6" t="n">
        <v>215</v>
      </c>
      <c r="J115" s="6" t="n">
        <v>20</v>
      </c>
      <c r="K115" s="6" t="n">
        <f aca="false">IF($F115="","",$F115*$H115)</f>
        <v>28057.5</v>
      </c>
      <c r="L115" s="6" t="n">
        <f aca="false">IFERROR(ROUND($F115*$G115,-1),"")</f>
        <v>19670</v>
      </c>
      <c r="M115" s="4" t="s">
        <v>46</v>
      </c>
      <c r="N115" s="5" t="n">
        <f aca="false">IF($F115="","",IF(N($I115)&gt;0,$F115,0))</f>
        <v>32.25</v>
      </c>
      <c r="O115" s="6" t="n">
        <f aca="false">IF($F115="","",N($N115)*N($I115))</f>
        <v>6933.75</v>
      </c>
      <c r="P115" s="6" t="str">
        <f aca="false">IF(OR($C115=P$1,$C115="Titan Rocks"),$K115,"")</f>
        <v/>
      </c>
      <c r="Q115" s="6" t="str">
        <f aca="false">IF($C115=Q$1,$K115,"")</f>
        <v/>
      </c>
      <c r="R115" s="5" t="str">
        <f aca="false">IF($C115=Q$1,$F115,"")</f>
        <v/>
      </c>
      <c r="S115" s="6" t="str">
        <f aca="false">IF($C115=S$1,$K115,"")</f>
        <v/>
      </c>
      <c r="T115" s="5" t="str">
        <f aca="false">IF($C115=S$1,$F115,"")</f>
        <v/>
      </c>
      <c r="U115" s="6" t="str">
        <f aca="false">IF($C115=U$1,$K115,"")</f>
        <v/>
      </c>
      <c r="V115" s="5" t="str">
        <f aca="false">IF($C115=U$1,$F115,"")</f>
        <v/>
      </c>
      <c r="W115" s="6" t="n">
        <f aca="false">IF($C115=W$1,$K115,"")</f>
        <v>28057.5</v>
      </c>
      <c r="X115" s="5" t="n">
        <f aca="false">IF($C115=W$1,$F115,"")</f>
        <v>32.25</v>
      </c>
      <c r="Y115" s="6" t="str">
        <f aca="false">IF($C115=Y$1,$K115,"")</f>
        <v/>
      </c>
      <c r="Z115" s="5" t="str">
        <f aca="false">IF($C115=Y$1,$F115,"")</f>
        <v/>
      </c>
      <c r="AA115" s="6" t="str">
        <f aca="false">IF($C115=AA$1,$K115,"")</f>
        <v/>
      </c>
      <c r="AB115" s="5" t="str">
        <f aca="false">IF($C115=AA$1,$F115,"")</f>
        <v/>
      </c>
      <c r="AC115" s="6" t="str">
        <f aca="false">IF($C115=AC$1,$K115,"")</f>
        <v/>
      </c>
      <c r="AD115" s="5" t="str">
        <f aca="false">IF($C115=AC$1,$F115,"")</f>
        <v/>
      </c>
      <c r="AE115" s="6" t="str">
        <f aca="false">IF($C115=AE$1,$K115,"")</f>
        <v/>
      </c>
      <c r="AF115" s="5" t="str">
        <f aca="false">IF($C115=AE$1,$F115,"")</f>
        <v/>
      </c>
      <c r="AG115" s="6" t="str">
        <f aca="false">IF($C115=AG$1,$K115,"")</f>
        <v/>
      </c>
      <c r="AH115" s="5" t="str">
        <f aca="false">IF($C115=AG$1,$F115,"")</f>
        <v/>
      </c>
      <c r="AI115" s="6" t="str">
        <f aca="false">IF($C115=AI$1,$K115,"")</f>
        <v/>
      </c>
      <c r="AJ115" s="5" t="str">
        <f aca="false">IF($C115=AI$1,$F115,"")</f>
        <v/>
      </c>
      <c r="AK115" s="6" t="str">
        <f aca="false">IF($C115=AK$1,$K115,"")</f>
        <v/>
      </c>
      <c r="AL115" s="5" t="str">
        <f aca="false">IF($C115=AK$1,$F115,"")</f>
        <v/>
      </c>
      <c r="AM115" s="6" t="str">
        <f aca="false">IF($C115=AM$1,$K115,"")</f>
        <v/>
      </c>
      <c r="AN115" s="5" t="str">
        <f aca="false">IF($C115=AM$1,$F115,"")</f>
        <v/>
      </c>
      <c r="AO115" s="6" t="str">
        <f aca="false">IF($C115=AO$1,$K115,"")</f>
        <v/>
      </c>
      <c r="AP115" s="5" t="str">
        <f aca="false">IF($C115=AO$1,$F115,"")</f>
        <v/>
      </c>
      <c r="AQ115" s="5" t="n">
        <f aca="false">IF($F115="",0,IF($D115=AQ$1,$F115,0))</f>
        <v>0</v>
      </c>
      <c r="AR115" s="6" t="n">
        <f aca="false">IF($D115=AQ$1,N($K115)-N($L115)-N($O115),0)</f>
        <v>0</v>
      </c>
      <c r="AS115" s="5" t="n">
        <f aca="false">IF($F115="",0,IF($D115=AS$1,$F115,0))</f>
        <v>32.25</v>
      </c>
      <c r="AT115" s="6" t="n">
        <f aca="false">IF($D115=AS$1,N($K115)-N($L115)-N($O115),0)</f>
        <v>1453.75</v>
      </c>
      <c r="AU115" s="5" t="n">
        <f aca="false">IF(N($J115)&gt;0,N($F115),0)</f>
        <v>32.25</v>
      </c>
      <c r="AV115" s="6" t="n">
        <f aca="false">IF(N($J115)&gt;0,$F115*$J115,0)</f>
        <v>645</v>
      </c>
    </row>
    <row r="116" customFormat="false" ht="15" hidden="false" customHeight="false" outlineLevel="0" collapsed="false">
      <c r="A116" s="16" t="n">
        <v>46232</v>
      </c>
      <c r="B116" s="4" t="s">
        <v>232</v>
      </c>
      <c r="C116" s="4" t="s">
        <v>16</v>
      </c>
      <c r="D116" s="4" t="s">
        <v>68</v>
      </c>
      <c r="E116" s="4" t="n">
        <f aca="false">E115+1</f>
        <v>114</v>
      </c>
      <c r="F116" s="5" t="n">
        <v>30.45</v>
      </c>
      <c r="G116" s="6" t="n">
        <v>610</v>
      </c>
      <c r="H116" s="6" t="n">
        <v>900</v>
      </c>
      <c r="I116" s="6" t="n">
        <v>220</v>
      </c>
      <c r="J116" s="6" t="n">
        <v>20</v>
      </c>
      <c r="K116" s="6" t="n">
        <f aca="false">IF($F116="","",$F116*$H116)</f>
        <v>27405</v>
      </c>
      <c r="L116" s="6" t="n">
        <f aca="false">IFERROR(ROUND($F116*$G116,-1),"")</f>
        <v>18570</v>
      </c>
      <c r="M116" s="4" t="s">
        <v>47</v>
      </c>
      <c r="N116" s="5" t="n">
        <f aca="false">IF($F116="","",IF(N($I116)&gt;0,$F116,0))</f>
        <v>30.45</v>
      </c>
      <c r="O116" s="6" t="n">
        <f aca="false">IF($F116="","",N($N116)*N($I116))</f>
        <v>6699</v>
      </c>
      <c r="P116" s="6" t="str">
        <f aca="false">IF(OR($C116=P$1,$C116="Titan Rocks"),$K116,"")</f>
        <v/>
      </c>
      <c r="Q116" s="6" t="str">
        <f aca="false">IF($C116=Q$1,$K116,"")</f>
        <v/>
      </c>
      <c r="R116" s="5" t="str">
        <f aca="false">IF($C116=Q$1,$F116,"")</f>
        <v/>
      </c>
      <c r="S116" s="6" t="n">
        <f aca="false">IF($C116=S$1,$K116,"")</f>
        <v>27405</v>
      </c>
      <c r="T116" s="5" t="n">
        <f aca="false">IF($C116=S$1,$F116,"")</f>
        <v>30.45</v>
      </c>
      <c r="U116" s="6" t="str">
        <f aca="false">IF($C116=U$1,$K116,"")</f>
        <v/>
      </c>
      <c r="V116" s="5" t="str">
        <f aca="false">IF($C116=U$1,$F116,"")</f>
        <v/>
      </c>
      <c r="W116" s="6" t="str">
        <f aca="false">IF($C116=W$1,$K116,"")</f>
        <v/>
      </c>
      <c r="X116" s="5" t="str">
        <f aca="false">IF($C116=W$1,$F116,"")</f>
        <v/>
      </c>
      <c r="Y116" s="6" t="str">
        <f aca="false">IF($C116=Y$1,$K116,"")</f>
        <v/>
      </c>
      <c r="Z116" s="5" t="str">
        <f aca="false">IF($C116=Y$1,$F116,"")</f>
        <v/>
      </c>
      <c r="AA116" s="6" t="str">
        <f aca="false">IF($C116=AA$1,$K116,"")</f>
        <v/>
      </c>
      <c r="AB116" s="5" t="str">
        <f aca="false">IF($C116=AA$1,$F116,"")</f>
        <v/>
      </c>
      <c r="AC116" s="6" t="str">
        <f aca="false">IF($C116=AC$1,$K116,"")</f>
        <v/>
      </c>
      <c r="AD116" s="5" t="str">
        <f aca="false">IF($C116=AC$1,$F116,"")</f>
        <v/>
      </c>
      <c r="AE116" s="6" t="str">
        <f aca="false">IF($C116=AE$1,$K116,"")</f>
        <v/>
      </c>
      <c r="AF116" s="5" t="str">
        <f aca="false">IF($C116=AE$1,$F116,"")</f>
        <v/>
      </c>
      <c r="AG116" s="6" t="str">
        <f aca="false">IF($C116=AG$1,$K116,"")</f>
        <v/>
      </c>
      <c r="AH116" s="5" t="str">
        <f aca="false">IF($C116=AG$1,$F116,"")</f>
        <v/>
      </c>
      <c r="AI116" s="6" t="str">
        <f aca="false">IF($C116=AI$1,$K116,"")</f>
        <v/>
      </c>
      <c r="AJ116" s="5" t="str">
        <f aca="false">IF($C116=AI$1,$F116,"")</f>
        <v/>
      </c>
      <c r="AK116" s="6" t="str">
        <f aca="false">IF($C116=AK$1,$K116,"")</f>
        <v/>
      </c>
      <c r="AL116" s="5" t="str">
        <f aca="false">IF($C116=AK$1,$F116,"")</f>
        <v/>
      </c>
      <c r="AM116" s="6" t="str">
        <f aca="false">IF($C116=AM$1,$K116,"")</f>
        <v/>
      </c>
      <c r="AN116" s="5" t="str">
        <f aca="false">IF($C116=AM$1,$F116,"")</f>
        <v/>
      </c>
      <c r="AO116" s="6" t="str">
        <f aca="false">IF($C116=AO$1,$K116,"")</f>
        <v/>
      </c>
      <c r="AP116" s="5" t="str">
        <f aca="false">IF($C116=AO$1,$F116,"")</f>
        <v/>
      </c>
      <c r="AQ116" s="5" t="n">
        <f aca="false">IF($F116="",0,IF($D116=AQ$1,$F116,0))</f>
        <v>0</v>
      </c>
      <c r="AR116" s="6" t="n">
        <f aca="false">IF($D116=AQ$1,N($K116)-N($L116)-N($O116),0)</f>
        <v>0</v>
      </c>
      <c r="AS116" s="5" t="n">
        <f aca="false">IF($F116="",0,IF($D116=AS$1,$F116,0))</f>
        <v>30.45</v>
      </c>
      <c r="AT116" s="6" t="n">
        <f aca="false">IF($D116=AS$1,N($K116)-N($L116)-N($O116),0)</f>
        <v>2136</v>
      </c>
      <c r="AU116" s="5" t="n">
        <f aca="false">IF(N($J116)&gt;0,N($F116),0)</f>
        <v>30.45</v>
      </c>
      <c r="AV116" s="6" t="n">
        <f aca="false">IF(N($J116)&gt;0,$F116*$J116,0)</f>
        <v>609</v>
      </c>
    </row>
    <row r="117" customFormat="false" ht="15" hidden="false" customHeight="false" outlineLevel="0" collapsed="false">
      <c r="A117" s="16" t="n">
        <v>46232</v>
      </c>
      <c r="B117" s="4" t="s">
        <v>232</v>
      </c>
      <c r="C117" s="4" t="s">
        <v>20</v>
      </c>
      <c r="D117" s="4" t="s">
        <v>68</v>
      </c>
      <c r="E117" s="4" t="n">
        <f aca="false">E116+1</f>
        <v>115</v>
      </c>
      <c r="F117" s="5" t="n">
        <v>32.11</v>
      </c>
      <c r="G117" s="6" t="n">
        <v>610</v>
      </c>
      <c r="H117" s="6" t="n">
        <v>675</v>
      </c>
      <c r="I117" s="6"/>
      <c r="J117" s="6" t="n">
        <v>20</v>
      </c>
      <c r="K117" s="6" t="n">
        <f aca="false">IF($F117="","",$F117*$H117)</f>
        <v>21674.25</v>
      </c>
      <c r="L117" s="6" t="n">
        <f aca="false">IFERROR(ROUND($F117*$G117,-1),"")</f>
        <v>19590</v>
      </c>
      <c r="M117" s="4" t="s">
        <v>48</v>
      </c>
      <c r="N117" s="5" t="n">
        <f aca="false">IF($F117="","",IF(N($I117)&gt;0,$F117,0))</f>
        <v>0</v>
      </c>
      <c r="O117" s="6" t="n">
        <f aca="false">IF($F117="","",N($N117)*N($I117))</f>
        <v>0</v>
      </c>
      <c r="P117" s="6" t="str">
        <f aca="false">IF(OR($C117=P$1,$C117="Titan Rocks"),$K117,"")</f>
        <v/>
      </c>
      <c r="Q117" s="6" t="str">
        <f aca="false">IF($C117=Q$1,$K117,"")</f>
        <v/>
      </c>
      <c r="R117" s="5" t="str">
        <f aca="false">IF($C117=Q$1,$F117,"")</f>
        <v/>
      </c>
      <c r="S117" s="6" t="str">
        <f aca="false">IF($C117=S$1,$K117,"")</f>
        <v/>
      </c>
      <c r="T117" s="5" t="str">
        <f aca="false">IF($C117=S$1,$F117,"")</f>
        <v/>
      </c>
      <c r="U117" s="6" t="str">
        <f aca="false">IF($C117=U$1,$K117,"")</f>
        <v/>
      </c>
      <c r="V117" s="5" t="str">
        <f aca="false">IF($C117=U$1,$F117,"")</f>
        <v/>
      </c>
      <c r="W117" s="6" t="str">
        <f aca="false">IF($C117=W$1,$K117,"")</f>
        <v/>
      </c>
      <c r="X117" s="5" t="str">
        <f aca="false">IF($C117=W$1,$F117,"")</f>
        <v/>
      </c>
      <c r="Y117" s="6" t="str">
        <f aca="false">IF($C117=Y$1,$K117,"")</f>
        <v/>
      </c>
      <c r="Z117" s="5" t="str">
        <f aca="false">IF($C117=Y$1,$F117,"")</f>
        <v/>
      </c>
      <c r="AA117" s="6" t="n">
        <f aca="false">IF($C117=AA$1,$K117,"")</f>
        <v>21674.25</v>
      </c>
      <c r="AB117" s="5" t="n">
        <f aca="false">IF($C117=AA$1,$F117,"")</f>
        <v>32.11</v>
      </c>
      <c r="AC117" s="6" t="str">
        <f aca="false">IF($C117=AC$1,$K117,"")</f>
        <v/>
      </c>
      <c r="AD117" s="5" t="str">
        <f aca="false">IF($C117=AC$1,$F117,"")</f>
        <v/>
      </c>
      <c r="AE117" s="6" t="str">
        <f aca="false">IF($C117=AE$1,$K117,"")</f>
        <v/>
      </c>
      <c r="AF117" s="5" t="str">
        <f aca="false">IF($C117=AE$1,$F117,"")</f>
        <v/>
      </c>
      <c r="AG117" s="6" t="str">
        <f aca="false">IF($C117=AG$1,$K117,"")</f>
        <v/>
      </c>
      <c r="AH117" s="5" t="str">
        <f aca="false">IF($C117=AG$1,$F117,"")</f>
        <v/>
      </c>
      <c r="AI117" s="6" t="str">
        <f aca="false">IF($C117=AI$1,$K117,"")</f>
        <v/>
      </c>
      <c r="AJ117" s="5" t="str">
        <f aca="false">IF($C117=AI$1,$F117,"")</f>
        <v/>
      </c>
      <c r="AK117" s="6" t="str">
        <f aca="false">IF($C117=AK$1,$K117,"")</f>
        <v/>
      </c>
      <c r="AL117" s="5" t="str">
        <f aca="false">IF($C117=AK$1,$F117,"")</f>
        <v/>
      </c>
      <c r="AM117" s="6" t="str">
        <f aca="false">IF($C117=AM$1,$K117,"")</f>
        <v/>
      </c>
      <c r="AN117" s="5" t="str">
        <f aca="false">IF($C117=AM$1,$F117,"")</f>
        <v/>
      </c>
      <c r="AO117" s="6" t="str">
        <f aca="false">IF($C117=AO$1,$K117,"")</f>
        <v/>
      </c>
      <c r="AP117" s="5" t="str">
        <f aca="false">IF($C117=AO$1,$F117,"")</f>
        <v/>
      </c>
      <c r="AQ117" s="5" t="n">
        <f aca="false">IF($F117="",0,IF($D117=AQ$1,$F117,0))</f>
        <v>0</v>
      </c>
      <c r="AR117" s="6" t="n">
        <f aca="false">IF($D117=AQ$1,N($K117)-N($L117)-N($O117),0)</f>
        <v>0</v>
      </c>
      <c r="AS117" s="5" t="n">
        <f aca="false">IF($F117="",0,IF($D117=AS$1,$F117,0))</f>
        <v>32.11</v>
      </c>
      <c r="AT117" s="6" t="n">
        <f aca="false">IF($D117=AS$1,N($K117)-N($L117)-N($O117),0)</f>
        <v>2084.25</v>
      </c>
      <c r="AU117" s="5" t="n">
        <f aca="false">IF(N($J117)&gt;0,N($F117),0)</f>
        <v>32.11</v>
      </c>
      <c r="AV117" s="6" t="n">
        <f aca="false">IF(N($J117)&gt;0,$F117*$J117,0)</f>
        <v>642.2</v>
      </c>
    </row>
    <row r="118" customFormat="false" ht="15" hidden="false" customHeight="false" outlineLevel="0" collapsed="false">
      <c r="A118" s="16" t="n">
        <v>46232</v>
      </c>
      <c r="B118" s="4" t="s">
        <v>232</v>
      </c>
      <c r="C118" s="4" t="s">
        <v>16</v>
      </c>
      <c r="D118" s="4" t="s">
        <v>68</v>
      </c>
      <c r="E118" s="4" t="n">
        <f aca="false">E117+1</f>
        <v>116</v>
      </c>
      <c r="F118" s="5" t="n">
        <v>31.37</v>
      </c>
      <c r="G118" s="6" t="n">
        <v>610</v>
      </c>
      <c r="H118" s="6" t="n">
        <v>900</v>
      </c>
      <c r="I118" s="6" t="n">
        <v>220</v>
      </c>
      <c r="J118" s="6" t="n">
        <v>20</v>
      </c>
      <c r="K118" s="6" t="n">
        <f aca="false">IF($F118="","",$F118*$H118)</f>
        <v>28233</v>
      </c>
      <c r="L118" s="6" t="n">
        <f aca="false">IFERROR(ROUND($F118*$G118,-1),"")</f>
        <v>19140</v>
      </c>
      <c r="M118" s="4" t="s">
        <v>49</v>
      </c>
      <c r="N118" s="5" t="n">
        <f aca="false">IF($F118="","",IF(N($I118)&gt;0,$F118,0))</f>
        <v>31.37</v>
      </c>
      <c r="O118" s="6" t="n">
        <f aca="false">IF($F118="","",N($N118)*N($I118))</f>
        <v>6901.4</v>
      </c>
      <c r="P118" s="6" t="str">
        <f aca="false">IF(OR($C118=P$1,$C118="Titan Rocks"),$K118,"")</f>
        <v/>
      </c>
      <c r="Q118" s="6" t="str">
        <f aca="false">IF($C118=Q$1,$K118,"")</f>
        <v/>
      </c>
      <c r="R118" s="5" t="str">
        <f aca="false">IF($C118=Q$1,$F118,"")</f>
        <v/>
      </c>
      <c r="S118" s="6" t="n">
        <f aca="false">IF($C118=S$1,$K118,"")</f>
        <v>28233</v>
      </c>
      <c r="T118" s="5" t="n">
        <f aca="false">IF($C118=S$1,$F118,"")</f>
        <v>31.37</v>
      </c>
      <c r="U118" s="6" t="str">
        <f aca="false">IF($C118=U$1,$K118,"")</f>
        <v/>
      </c>
      <c r="V118" s="5" t="str">
        <f aca="false">IF($C118=U$1,$F118,"")</f>
        <v/>
      </c>
      <c r="W118" s="6" t="str">
        <f aca="false">IF($C118=W$1,$K118,"")</f>
        <v/>
      </c>
      <c r="X118" s="5" t="str">
        <f aca="false">IF($C118=W$1,$F118,"")</f>
        <v/>
      </c>
      <c r="Y118" s="6" t="str">
        <f aca="false">IF($C118=Y$1,$K118,"")</f>
        <v/>
      </c>
      <c r="Z118" s="5" t="str">
        <f aca="false">IF($C118=Y$1,$F118,"")</f>
        <v/>
      </c>
      <c r="AA118" s="6" t="str">
        <f aca="false">IF($C118=AA$1,$K118,"")</f>
        <v/>
      </c>
      <c r="AB118" s="5" t="str">
        <f aca="false">IF($C118=AA$1,$F118,"")</f>
        <v/>
      </c>
      <c r="AC118" s="6" t="str">
        <f aca="false">IF($C118=AC$1,$K118,"")</f>
        <v/>
      </c>
      <c r="AD118" s="5" t="str">
        <f aca="false">IF($C118=AC$1,$F118,"")</f>
        <v/>
      </c>
      <c r="AE118" s="6" t="str">
        <f aca="false">IF($C118=AE$1,$K118,"")</f>
        <v/>
      </c>
      <c r="AF118" s="5" t="str">
        <f aca="false">IF($C118=AE$1,$F118,"")</f>
        <v/>
      </c>
      <c r="AG118" s="6" t="str">
        <f aca="false">IF($C118=AG$1,$K118,"")</f>
        <v/>
      </c>
      <c r="AH118" s="5" t="str">
        <f aca="false">IF($C118=AG$1,$F118,"")</f>
        <v/>
      </c>
      <c r="AI118" s="6" t="str">
        <f aca="false">IF($C118=AI$1,$K118,"")</f>
        <v/>
      </c>
      <c r="AJ118" s="5" t="str">
        <f aca="false">IF($C118=AI$1,$F118,"")</f>
        <v/>
      </c>
      <c r="AK118" s="6" t="str">
        <f aca="false">IF($C118=AK$1,$K118,"")</f>
        <v/>
      </c>
      <c r="AL118" s="5" t="str">
        <f aca="false">IF($C118=AK$1,$F118,"")</f>
        <v/>
      </c>
      <c r="AM118" s="6" t="str">
        <f aca="false">IF($C118=AM$1,$K118,"")</f>
        <v/>
      </c>
      <c r="AN118" s="5" t="str">
        <f aca="false">IF($C118=AM$1,$F118,"")</f>
        <v/>
      </c>
      <c r="AO118" s="6" t="str">
        <f aca="false">IF($C118=AO$1,$K118,"")</f>
        <v/>
      </c>
      <c r="AP118" s="5" t="str">
        <f aca="false">IF($C118=AO$1,$F118,"")</f>
        <v/>
      </c>
      <c r="AQ118" s="5" t="n">
        <f aca="false">IF($F118="",0,IF($D118=AQ$1,$F118,0))</f>
        <v>0</v>
      </c>
      <c r="AR118" s="6" t="n">
        <f aca="false">IF($D118=AQ$1,N($K118)-N($L118)-N($O118),0)</f>
        <v>0</v>
      </c>
      <c r="AS118" s="5" t="n">
        <f aca="false">IF($F118="",0,IF($D118=AS$1,$F118,0))</f>
        <v>31.37</v>
      </c>
      <c r="AT118" s="6" t="n">
        <f aca="false">IF($D118=AS$1,N($K118)-N($L118)-N($O118),0)</f>
        <v>2191.6</v>
      </c>
      <c r="AU118" s="5" t="n">
        <f aca="false">IF(N($J118)&gt;0,N($F118),0)</f>
        <v>31.37</v>
      </c>
      <c r="AV118" s="6" t="n">
        <f aca="false">IF(N($J118)&gt;0,$F118*$J118,0)</f>
        <v>627.4</v>
      </c>
    </row>
    <row r="119" customFormat="false" ht="15" hidden="false" customHeight="false" outlineLevel="0" collapsed="false">
      <c r="A119" s="16" t="n">
        <v>46232</v>
      </c>
      <c r="B119" s="4" t="s">
        <v>232</v>
      </c>
      <c r="C119" s="4" t="s">
        <v>15</v>
      </c>
      <c r="D119" s="4" t="s">
        <v>67</v>
      </c>
      <c r="E119" s="4" t="n">
        <f aca="false">E118+1</f>
        <v>117</v>
      </c>
      <c r="F119" s="5" t="n">
        <v>30.85</v>
      </c>
      <c r="G119" s="6" t="n">
        <v>650</v>
      </c>
      <c r="H119" s="6" t="n">
        <v>675</v>
      </c>
      <c r="I119" s="6"/>
      <c r="J119" s="6"/>
      <c r="K119" s="6" t="n">
        <f aca="false">IF($F119="","",$F119*$H119)</f>
        <v>20823.75</v>
      </c>
      <c r="L119" s="6" t="n">
        <f aca="false">IFERROR(ROUND($F119*$G119,-1),"")</f>
        <v>20050</v>
      </c>
      <c r="M119" s="4" t="s">
        <v>50</v>
      </c>
      <c r="N119" s="5" t="n">
        <f aca="false">IF($F119="","",IF(N($I119)&gt;0,$F119,0))</f>
        <v>0</v>
      </c>
      <c r="O119" s="6" t="n">
        <f aca="false">IF($F119="","",N($N119)*N($I119))</f>
        <v>0</v>
      </c>
      <c r="P119" s="6" t="str">
        <f aca="false">IF(OR($C119=P$1,$C119="Titan Rocks"),$K119,"")</f>
        <v/>
      </c>
      <c r="Q119" s="6" t="n">
        <f aca="false">IF($C119=Q$1,$K119,"")</f>
        <v>20823.75</v>
      </c>
      <c r="R119" s="5" t="n">
        <f aca="false">IF($C119=Q$1,$F119,"")</f>
        <v>30.85</v>
      </c>
      <c r="S119" s="6" t="str">
        <f aca="false">IF($C119=S$1,$K119,"")</f>
        <v/>
      </c>
      <c r="T119" s="5" t="str">
        <f aca="false">IF($C119=S$1,$F119,"")</f>
        <v/>
      </c>
      <c r="U119" s="6" t="str">
        <f aca="false">IF($C119=U$1,$K119,"")</f>
        <v/>
      </c>
      <c r="V119" s="5" t="str">
        <f aca="false">IF($C119=U$1,$F119,"")</f>
        <v/>
      </c>
      <c r="W119" s="6" t="str">
        <f aca="false">IF($C119=W$1,$K119,"")</f>
        <v/>
      </c>
      <c r="X119" s="5" t="str">
        <f aca="false">IF($C119=W$1,$F119,"")</f>
        <v/>
      </c>
      <c r="Y119" s="6" t="str">
        <f aca="false">IF($C119=Y$1,$K119,"")</f>
        <v/>
      </c>
      <c r="Z119" s="5" t="str">
        <f aca="false">IF($C119=Y$1,$F119,"")</f>
        <v/>
      </c>
      <c r="AA119" s="6" t="str">
        <f aca="false">IF($C119=AA$1,$K119,"")</f>
        <v/>
      </c>
      <c r="AB119" s="5" t="str">
        <f aca="false">IF($C119=AA$1,$F119,"")</f>
        <v/>
      </c>
      <c r="AC119" s="6" t="str">
        <f aca="false">IF($C119=AC$1,$K119,"")</f>
        <v/>
      </c>
      <c r="AD119" s="5" t="str">
        <f aca="false">IF($C119=AC$1,$F119,"")</f>
        <v/>
      </c>
      <c r="AE119" s="6" t="str">
        <f aca="false">IF($C119=AE$1,$K119,"")</f>
        <v/>
      </c>
      <c r="AF119" s="5" t="str">
        <f aca="false">IF($C119=AE$1,$F119,"")</f>
        <v/>
      </c>
      <c r="AG119" s="6" t="str">
        <f aca="false">IF($C119=AG$1,$K119,"")</f>
        <v/>
      </c>
      <c r="AH119" s="5" t="str">
        <f aca="false">IF($C119=AG$1,$F119,"")</f>
        <v/>
      </c>
      <c r="AI119" s="6" t="str">
        <f aca="false">IF($C119=AI$1,$K119,"")</f>
        <v/>
      </c>
      <c r="AJ119" s="5" t="str">
        <f aca="false">IF($C119=AI$1,$F119,"")</f>
        <v/>
      </c>
      <c r="AK119" s="6" t="str">
        <f aca="false">IF($C119=AK$1,$K119,"")</f>
        <v/>
      </c>
      <c r="AL119" s="5" t="str">
        <f aca="false">IF($C119=AK$1,$F119,"")</f>
        <v/>
      </c>
      <c r="AM119" s="6" t="str">
        <f aca="false">IF($C119=AM$1,$K119,"")</f>
        <v/>
      </c>
      <c r="AN119" s="5" t="str">
        <f aca="false">IF($C119=AM$1,$F119,"")</f>
        <v/>
      </c>
      <c r="AO119" s="6" t="str">
        <f aca="false">IF($C119=AO$1,$K119,"")</f>
        <v/>
      </c>
      <c r="AP119" s="5" t="str">
        <f aca="false">IF($C119=AO$1,$F119,"")</f>
        <v/>
      </c>
      <c r="AQ119" s="5" t="n">
        <f aca="false">IF($F119="",0,IF($D119=AQ$1,$F119,0))</f>
        <v>30.85</v>
      </c>
      <c r="AR119" s="6" t="n">
        <f aca="false">IF($D119=AQ$1,N($K119)-N($L119)-N($O119),0)</f>
        <v>773.75</v>
      </c>
      <c r="AS119" s="5" t="n">
        <f aca="false">IF($F119="",0,IF($D119=AS$1,$F119,0))</f>
        <v>0</v>
      </c>
      <c r="AT119" s="6" t="n">
        <f aca="false">IF($D119=AS$1,N($K119)-N($L119)-N($O119),0)</f>
        <v>0</v>
      </c>
      <c r="AU119" s="5" t="n">
        <f aca="false">IF(N($J119)&gt;0,N($F119),0)</f>
        <v>0</v>
      </c>
      <c r="AV119" s="6" t="n">
        <f aca="false">IF(N($J119)&gt;0,$F119*$J119,0)</f>
        <v>0</v>
      </c>
    </row>
    <row r="120" customFormat="false" ht="15" hidden="false" customHeight="false" outlineLevel="0" collapsed="false">
      <c r="A120" s="16" t="n">
        <v>46232</v>
      </c>
      <c r="B120" s="4" t="s">
        <v>232</v>
      </c>
      <c r="C120" s="4" t="s">
        <v>16</v>
      </c>
      <c r="D120" s="4" t="s">
        <v>67</v>
      </c>
      <c r="E120" s="4" t="n">
        <f aca="false">E119+1</f>
        <v>118</v>
      </c>
      <c r="F120" s="5" t="n">
        <v>32.9</v>
      </c>
      <c r="G120" s="6" t="n">
        <v>650</v>
      </c>
      <c r="H120" s="6" t="n">
        <v>900</v>
      </c>
      <c r="I120" s="6" t="n">
        <v>220</v>
      </c>
      <c r="J120" s="6"/>
      <c r="K120" s="6" t="n">
        <f aca="false">IF($F120="","",$F120*$H120)</f>
        <v>29610</v>
      </c>
      <c r="L120" s="6" t="n">
        <f aca="false">IFERROR(ROUND($F120*$G120,-1),"")</f>
        <v>21390</v>
      </c>
      <c r="M120" s="4" t="s">
        <v>51</v>
      </c>
      <c r="N120" s="5" t="n">
        <f aca="false">IF($F120="","",IF(N($I120)&gt;0,$F120,0))</f>
        <v>32.9</v>
      </c>
      <c r="O120" s="6" t="n">
        <f aca="false">IF($F120="","",N($N120)*N($I120))</f>
        <v>7238</v>
      </c>
      <c r="P120" s="6" t="str">
        <f aca="false">IF(OR($C120=P$1,$C120="Titan Rocks"),$K120,"")</f>
        <v/>
      </c>
      <c r="Q120" s="6" t="str">
        <f aca="false">IF($C120=Q$1,$K120,"")</f>
        <v/>
      </c>
      <c r="R120" s="5" t="str">
        <f aca="false">IF($C120=Q$1,$F120,"")</f>
        <v/>
      </c>
      <c r="S120" s="6" t="n">
        <f aca="false">IF($C120=S$1,$K120,"")</f>
        <v>29610</v>
      </c>
      <c r="T120" s="5" t="n">
        <f aca="false">IF($C120=S$1,$F120,"")</f>
        <v>32.9</v>
      </c>
      <c r="U120" s="6" t="str">
        <f aca="false">IF($C120=U$1,$K120,"")</f>
        <v/>
      </c>
      <c r="V120" s="5" t="str">
        <f aca="false">IF($C120=U$1,$F120,"")</f>
        <v/>
      </c>
      <c r="W120" s="6" t="str">
        <f aca="false">IF($C120=W$1,$K120,"")</f>
        <v/>
      </c>
      <c r="X120" s="5" t="str">
        <f aca="false">IF($C120=W$1,$F120,"")</f>
        <v/>
      </c>
      <c r="Y120" s="6" t="str">
        <f aca="false">IF($C120=Y$1,$K120,"")</f>
        <v/>
      </c>
      <c r="Z120" s="5" t="str">
        <f aca="false">IF($C120=Y$1,$F120,"")</f>
        <v/>
      </c>
      <c r="AA120" s="6" t="str">
        <f aca="false">IF($C120=AA$1,$K120,"")</f>
        <v/>
      </c>
      <c r="AB120" s="5" t="str">
        <f aca="false">IF($C120=AA$1,$F120,"")</f>
        <v/>
      </c>
      <c r="AC120" s="6" t="str">
        <f aca="false">IF($C120=AC$1,$K120,"")</f>
        <v/>
      </c>
      <c r="AD120" s="5" t="str">
        <f aca="false">IF($C120=AC$1,$F120,"")</f>
        <v/>
      </c>
      <c r="AE120" s="6" t="str">
        <f aca="false">IF($C120=AE$1,$K120,"")</f>
        <v/>
      </c>
      <c r="AF120" s="5" t="str">
        <f aca="false">IF($C120=AE$1,$F120,"")</f>
        <v/>
      </c>
      <c r="AG120" s="6" t="str">
        <f aca="false">IF($C120=AG$1,$K120,"")</f>
        <v/>
      </c>
      <c r="AH120" s="5" t="str">
        <f aca="false">IF($C120=AG$1,$F120,"")</f>
        <v/>
      </c>
      <c r="AI120" s="6" t="str">
        <f aca="false">IF($C120=AI$1,$K120,"")</f>
        <v/>
      </c>
      <c r="AJ120" s="5" t="str">
        <f aca="false">IF($C120=AI$1,$F120,"")</f>
        <v/>
      </c>
      <c r="AK120" s="6" t="str">
        <f aca="false">IF($C120=AK$1,$K120,"")</f>
        <v/>
      </c>
      <c r="AL120" s="5" t="str">
        <f aca="false">IF($C120=AK$1,$F120,"")</f>
        <v/>
      </c>
      <c r="AM120" s="6" t="str">
        <f aca="false">IF($C120=AM$1,$K120,"")</f>
        <v/>
      </c>
      <c r="AN120" s="5" t="str">
        <f aca="false">IF($C120=AM$1,$F120,"")</f>
        <v/>
      </c>
      <c r="AO120" s="6" t="str">
        <f aca="false">IF($C120=AO$1,$K120,"")</f>
        <v/>
      </c>
      <c r="AP120" s="5" t="str">
        <f aca="false">IF($C120=AO$1,$F120,"")</f>
        <v/>
      </c>
      <c r="AQ120" s="5" t="n">
        <f aca="false">IF($F120="",0,IF($D120=AQ$1,$F120,0))</f>
        <v>32.9</v>
      </c>
      <c r="AR120" s="6" t="n">
        <f aca="false">IF($D120=AQ$1,N($K120)-N($L120)-N($O120),0)</f>
        <v>982</v>
      </c>
      <c r="AS120" s="5" t="n">
        <f aca="false">IF($F120="",0,IF($D120=AS$1,$F120,0))</f>
        <v>0</v>
      </c>
      <c r="AT120" s="6" t="n">
        <f aca="false">IF($D120=AS$1,N($K120)-N($L120)-N($O120),0)</f>
        <v>0</v>
      </c>
      <c r="AU120" s="5" t="n">
        <f aca="false">IF(N($J120)&gt;0,N($F120),0)</f>
        <v>0</v>
      </c>
      <c r="AV120" s="6" t="n">
        <f aca="false">IF(N($J120)&gt;0,$F120*$J120,0)</f>
        <v>0</v>
      </c>
    </row>
    <row r="121" customFormat="false" ht="15" hidden="false" customHeight="false" outlineLevel="0" collapsed="false">
      <c r="A121" s="16" t="n">
        <v>46232</v>
      </c>
      <c r="B121" s="4" t="s">
        <v>232</v>
      </c>
      <c r="C121" s="4" t="s">
        <v>16</v>
      </c>
      <c r="D121" s="4" t="s">
        <v>67</v>
      </c>
      <c r="E121" s="4" t="n">
        <f aca="false">E120+1</f>
        <v>119</v>
      </c>
      <c r="F121" s="5" t="n">
        <v>32.68</v>
      </c>
      <c r="G121" s="6" t="n">
        <v>650</v>
      </c>
      <c r="H121" s="6" t="n">
        <v>900</v>
      </c>
      <c r="I121" s="6" t="n">
        <v>225</v>
      </c>
      <c r="J121" s="6"/>
      <c r="K121" s="6" t="n">
        <f aca="false">IF($F121="","",$F121*$H121)</f>
        <v>29412</v>
      </c>
      <c r="L121" s="6" t="n">
        <f aca="false">IFERROR(ROUND($F121*$G121,-1),"")</f>
        <v>21240</v>
      </c>
      <c r="M121" s="4" t="s">
        <v>40</v>
      </c>
      <c r="N121" s="5" t="n">
        <f aca="false">IF($F121="","",IF(N($I121)&gt;0,$F121,0))</f>
        <v>32.68</v>
      </c>
      <c r="O121" s="6" t="n">
        <f aca="false">IF($F121="","",N($N121)*N($I121))</f>
        <v>7353</v>
      </c>
      <c r="P121" s="6" t="str">
        <f aca="false">IF(OR($C121=P$1,$C121="Titan Rocks"),$K121,"")</f>
        <v/>
      </c>
      <c r="Q121" s="6" t="str">
        <f aca="false">IF($C121=Q$1,$K121,"")</f>
        <v/>
      </c>
      <c r="R121" s="5" t="str">
        <f aca="false">IF($C121=Q$1,$F121,"")</f>
        <v/>
      </c>
      <c r="S121" s="6" t="n">
        <f aca="false">IF($C121=S$1,$K121,"")</f>
        <v>29412</v>
      </c>
      <c r="T121" s="5" t="n">
        <f aca="false">IF($C121=S$1,$F121,"")</f>
        <v>32.68</v>
      </c>
      <c r="U121" s="6" t="str">
        <f aca="false">IF($C121=U$1,$K121,"")</f>
        <v/>
      </c>
      <c r="V121" s="5" t="str">
        <f aca="false">IF($C121=U$1,$F121,"")</f>
        <v/>
      </c>
      <c r="W121" s="6" t="str">
        <f aca="false">IF($C121=W$1,$K121,"")</f>
        <v/>
      </c>
      <c r="X121" s="5" t="str">
        <f aca="false">IF($C121=W$1,$F121,"")</f>
        <v/>
      </c>
      <c r="Y121" s="6" t="str">
        <f aca="false">IF($C121=Y$1,$K121,"")</f>
        <v/>
      </c>
      <c r="Z121" s="5" t="str">
        <f aca="false">IF($C121=Y$1,$F121,"")</f>
        <v/>
      </c>
      <c r="AA121" s="6" t="str">
        <f aca="false">IF($C121=AA$1,$K121,"")</f>
        <v/>
      </c>
      <c r="AB121" s="5" t="str">
        <f aca="false">IF($C121=AA$1,$F121,"")</f>
        <v/>
      </c>
      <c r="AC121" s="6" t="str">
        <f aca="false">IF($C121=AC$1,$K121,"")</f>
        <v/>
      </c>
      <c r="AD121" s="5" t="str">
        <f aca="false">IF($C121=AC$1,$F121,"")</f>
        <v/>
      </c>
      <c r="AE121" s="6" t="str">
        <f aca="false">IF($C121=AE$1,$K121,"")</f>
        <v/>
      </c>
      <c r="AF121" s="5" t="str">
        <f aca="false">IF($C121=AE$1,$F121,"")</f>
        <v/>
      </c>
      <c r="AG121" s="6" t="str">
        <f aca="false">IF($C121=AG$1,$K121,"")</f>
        <v/>
      </c>
      <c r="AH121" s="5" t="str">
        <f aca="false">IF($C121=AG$1,$F121,"")</f>
        <v/>
      </c>
      <c r="AI121" s="6" t="str">
        <f aca="false">IF($C121=AI$1,$K121,"")</f>
        <v/>
      </c>
      <c r="AJ121" s="5" t="str">
        <f aca="false">IF($C121=AI$1,$F121,"")</f>
        <v/>
      </c>
      <c r="AK121" s="6" t="str">
        <f aca="false">IF($C121=AK$1,$K121,"")</f>
        <v/>
      </c>
      <c r="AL121" s="5" t="str">
        <f aca="false">IF($C121=AK$1,$F121,"")</f>
        <v/>
      </c>
      <c r="AM121" s="6" t="str">
        <f aca="false">IF($C121=AM$1,$K121,"")</f>
        <v/>
      </c>
      <c r="AN121" s="5" t="str">
        <f aca="false">IF($C121=AM$1,$F121,"")</f>
        <v/>
      </c>
      <c r="AO121" s="6" t="str">
        <f aca="false">IF($C121=AO$1,$K121,"")</f>
        <v/>
      </c>
      <c r="AP121" s="5" t="str">
        <f aca="false">IF($C121=AO$1,$F121,"")</f>
        <v/>
      </c>
      <c r="AQ121" s="5" t="n">
        <f aca="false">IF($F121="",0,IF($D121=AQ$1,$F121,0))</f>
        <v>32.68</v>
      </c>
      <c r="AR121" s="6" t="n">
        <f aca="false">IF($D121=AQ$1,N($K121)-N($L121)-N($O121),0)</f>
        <v>819</v>
      </c>
      <c r="AS121" s="5" t="n">
        <f aca="false">IF($F121="",0,IF($D121=AS$1,$F121,0))</f>
        <v>0</v>
      </c>
      <c r="AT121" s="6" t="n">
        <f aca="false">IF($D121=AS$1,N($K121)-N($L121)-N($O121),0)</f>
        <v>0</v>
      </c>
      <c r="AU121" s="5" t="n">
        <f aca="false">IF(N($J121)&gt;0,N($F121),0)</f>
        <v>0</v>
      </c>
      <c r="AV121" s="6" t="n">
        <f aca="false">IF(N($J121)&gt;0,$F121*$J121,0)</f>
        <v>0</v>
      </c>
    </row>
    <row r="122" customFormat="false" ht="15" hidden="false" customHeight="false" outlineLevel="0" collapsed="false">
      <c r="A122" s="16" t="n">
        <v>46232</v>
      </c>
      <c r="B122" s="4" t="s">
        <v>232</v>
      </c>
      <c r="C122" s="4" t="s">
        <v>16</v>
      </c>
      <c r="D122" s="4" t="s">
        <v>67</v>
      </c>
      <c r="E122" s="4" t="n">
        <f aca="false">E121+1</f>
        <v>120</v>
      </c>
      <c r="F122" s="5" t="n">
        <v>21.33</v>
      </c>
      <c r="G122" s="6" t="n">
        <v>650</v>
      </c>
      <c r="H122" s="6" t="n">
        <v>900</v>
      </c>
      <c r="I122" s="6" t="n">
        <v>250</v>
      </c>
      <c r="J122" s="6"/>
      <c r="K122" s="6" t="n">
        <f aca="false">IF($F122="","",$F122*$H122)</f>
        <v>19197</v>
      </c>
      <c r="L122" s="6" t="n">
        <f aca="false">IFERROR(ROUND($F122*$G122,-1),"")</f>
        <v>13860</v>
      </c>
      <c r="M122" s="4" t="s">
        <v>52</v>
      </c>
      <c r="N122" s="5" t="n">
        <f aca="false">IF($F122="","",IF(N($I122)&gt;0,$F122,0))</f>
        <v>21.33</v>
      </c>
      <c r="O122" s="6" t="n">
        <f aca="false">IF($F122="","",N($N122)*N($I122))</f>
        <v>5332.5</v>
      </c>
      <c r="P122" s="6" t="str">
        <f aca="false">IF(OR($C122=P$1,$C122="Titan Rocks"),$K122,"")</f>
        <v/>
      </c>
      <c r="Q122" s="6" t="str">
        <f aca="false">IF($C122=Q$1,$K122,"")</f>
        <v/>
      </c>
      <c r="R122" s="5" t="str">
        <f aca="false">IF($C122=Q$1,$F122,"")</f>
        <v/>
      </c>
      <c r="S122" s="6" t="n">
        <f aca="false">IF($C122=S$1,$K122,"")</f>
        <v>19197</v>
      </c>
      <c r="T122" s="5" t="n">
        <f aca="false">IF($C122=S$1,$F122,"")</f>
        <v>21.33</v>
      </c>
      <c r="U122" s="6" t="str">
        <f aca="false">IF($C122=U$1,$K122,"")</f>
        <v/>
      </c>
      <c r="V122" s="5" t="str">
        <f aca="false">IF($C122=U$1,$F122,"")</f>
        <v/>
      </c>
      <c r="W122" s="6" t="str">
        <f aca="false">IF($C122=W$1,$K122,"")</f>
        <v/>
      </c>
      <c r="X122" s="5" t="str">
        <f aca="false">IF($C122=W$1,$F122,"")</f>
        <v/>
      </c>
      <c r="Y122" s="6" t="str">
        <f aca="false">IF($C122=Y$1,$K122,"")</f>
        <v/>
      </c>
      <c r="Z122" s="5" t="str">
        <f aca="false">IF($C122=Y$1,$F122,"")</f>
        <v/>
      </c>
      <c r="AA122" s="6" t="str">
        <f aca="false">IF($C122=AA$1,$K122,"")</f>
        <v/>
      </c>
      <c r="AB122" s="5" t="str">
        <f aca="false">IF($C122=AA$1,$F122,"")</f>
        <v/>
      </c>
      <c r="AC122" s="6" t="str">
        <f aca="false">IF($C122=AC$1,$K122,"")</f>
        <v/>
      </c>
      <c r="AD122" s="5" t="str">
        <f aca="false">IF($C122=AC$1,$F122,"")</f>
        <v/>
      </c>
      <c r="AE122" s="6" t="str">
        <f aca="false">IF($C122=AE$1,$K122,"")</f>
        <v/>
      </c>
      <c r="AF122" s="5" t="str">
        <f aca="false">IF($C122=AE$1,$F122,"")</f>
        <v/>
      </c>
      <c r="AG122" s="6" t="str">
        <f aca="false">IF($C122=AG$1,$K122,"")</f>
        <v/>
      </c>
      <c r="AH122" s="5" t="str">
        <f aca="false">IF($C122=AG$1,$F122,"")</f>
        <v/>
      </c>
      <c r="AI122" s="6" t="str">
        <f aca="false">IF($C122=AI$1,$K122,"")</f>
        <v/>
      </c>
      <c r="AJ122" s="5" t="str">
        <f aca="false">IF($C122=AI$1,$F122,"")</f>
        <v/>
      </c>
      <c r="AK122" s="6" t="str">
        <f aca="false">IF($C122=AK$1,$K122,"")</f>
        <v/>
      </c>
      <c r="AL122" s="5" t="str">
        <f aca="false">IF($C122=AK$1,$F122,"")</f>
        <v/>
      </c>
      <c r="AM122" s="6" t="str">
        <f aca="false">IF($C122=AM$1,$K122,"")</f>
        <v/>
      </c>
      <c r="AN122" s="5" t="str">
        <f aca="false">IF($C122=AM$1,$F122,"")</f>
        <v/>
      </c>
      <c r="AO122" s="6" t="str">
        <f aca="false">IF($C122=AO$1,$K122,"")</f>
        <v/>
      </c>
      <c r="AP122" s="5" t="str">
        <f aca="false">IF($C122=AO$1,$F122,"")</f>
        <v/>
      </c>
      <c r="AQ122" s="5" t="n">
        <f aca="false">IF($F122="",0,IF($D122=AQ$1,$F122,0))</f>
        <v>21.33</v>
      </c>
      <c r="AR122" s="6" t="n">
        <f aca="false">IF($D122=AQ$1,N($K122)-N($L122)-N($O122),0)</f>
        <v>4.5</v>
      </c>
      <c r="AS122" s="5" t="n">
        <f aca="false">IF($F122="",0,IF($D122=AS$1,$F122,0))</f>
        <v>0</v>
      </c>
      <c r="AT122" s="6" t="n">
        <f aca="false">IF($D122=AS$1,N($K122)-N($L122)-N($O122),0)</f>
        <v>0</v>
      </c>
      <c r="AU122" s="5" t="n">
        <f aca="false">IF(N($J122)&gt;0,N($F122),0)</f>
        <v>0</v>
      </c>
      <c r="AV122" s="6" t="n">
        <f aca="false">IF(N($J122)&gt;0,$F122*$J122,0)</f>
        <v>0</v>
      </c>
    </row>
    <row r="123" customFormat="false" ht="15" hidden="false" customHeight="false" outlineLevel="0" collapsed="false">
      <c r="A123" s="16" t="n">
        <v>46232</v>
      </c>
      <c r="B123" s="4" t="s">
        <v>232</v>
      </c>
      <c r="C123" s="4" t="s">
        <v>19</v>
      </c>
      <c r="D123" s="4" t="s">
        <v>67</v>
      </c>
      <c r="E123" s="4" t="n">
        <f aca="false">E122+1</f>
        <v>121</v>
      </c>
      <c r="F123" s="5" t="n">
        <v>30.71</v>
      </c>
      <c r="G123" s="6" t="n">
        <v>650</v>
      </c>
      <c r="H123" s="6" t="n">
        <v>875</v>
      </c>
      <c r="I123" s="6" t="n">
        <v>210</v>
      </c>
      <c r="J123" s="6"/>
      <c r="K123" s="6" t="n">
        <f aca="false">IF($F123="","",$F123*$H123)</f>
        <v>26871.25</v>
      </c>
      <c r="L123" s="6" t="n">
        <f aca="false">IFERROR(ROUND($F123*$G123,-1),"")</f>
        <v>19960</v>
      </c>
      <c r="M123" s="4" t="s">
        <v>38</v>
      </c>
      <c r="N123" s="5" t="n">
        <f aca="false">IF($F123="","",IF(N($I123)&gt;0,$F123,0))</f>
        <v>30.71</v>
      </c>
      <c r="O123" s="6" t="n">
        <f aca="false">IF($F123="","",N($N123)*N($I123))</f>
        <v>6449.1</v>
      </c>
      <c r="P123" s="6" t="str">
        <f aca="false">IF(OR($C123=P$1,$C123="Titan Rocks"),$K123,"")</f>
        <v/>
      </c>
      <c r="Q123" s="6" t="str">
        <f aca="false">IF($C123=Q$1,$K123,"")</f>
        <v/>
      </c>
      <c r="R123" s="5" t="str">
        <f aca="false">IF($C123=Q$1,$F123,"")</f>
        <v/>
      </c>
      <c r="S123" s="6" t="str">
        <f aca="false">IF($C123=S$1,$K123,"")</f>
        <v/>
      </c>
      <c r="T123" s="5" t="str">
        <f aca="false">IF($C123=S$1,$F123,"")</f>
        <v/>
      </c>
      <c r="U123" s="6" t="str">
        <f aca="false">IF($C123=U$1,$K123,"")</f>
        <v/>
      </c>
      <c r="V123" s="5" t="str">
        <f aca="false">IF($C123=U$1,$F123,"")</f>
        <v/>
      </c>
      <c r="W123" s="6" t="str">
        <f aca="false">IF($C123=W$1,$K123,"")</f>
        <v/>
      </c>
      <c r="X123" s="5" t="str">
        <f aca="false">IF($C123=W$1,$F123,"")</f>
        <v/>
      </c>
      <c r="Y123" s="6" t="n">
        <f aca="false">IF($C123=Y$1,$K123,"")</f>
        <v>26871.25</v>
      </c>
      <c r="Z123" s="5" t="n">
        <f aca="false">IF($C123=Y$1,$F123,"")</f>
        <v>30.71</v>
      </c>
      <c r="AA123" s="6" t="str">
        <f aca="false">IF($C123=AA$1,$K123,"")</f>
        <v/>
      </c>
      <c r="AB123" s="5" t="str">
        <f aca="false">IF($C123=AA$1,$F123,"")</f>
        <v/>
      </c>
      <c r="AC123" s="6" t="str">
        <f aca="false">IF($C123=AC$1,$K123,"")</f>
        <v/>
      </c>
      <c r="AD123" s="5" t="str">
        <f aca="false">IF($C123=AC$1,$F123,"")</f>
        <v/>
      </c>
      <c r="AE123" s="6" t="str">
        <f aca="false">IF($C123=AE$1,$K123,"")</f>
        <v/>
      </c>
      <c r="AF123" s="5" t="str">
        <f aca="false">IF($C123=AE$1,$F123,"")</f>
        <v/>
      </c>
      <c r="AG123" s="6" t="str">
        <f aca="false">IF($C123=AG$1,$K123,"")</f>
        <v/>
      </c>
      <c r="AH123" s="5" t="str">
        <f aca="false">IF($C123=AG$1,$F123,"")</f>
        <v/>
      </c>
      <c r="AI123" s="6" t="str">
        <f aca="false">IF($C123=AI$1,$K123,"")</f>
        <v/>
      </c>
      <c r="AJ123" s="5" t="str">
        <f aca="false">IF($C123=AI$1,$F123,"")</f>
        <v/>
      </c>
      <c r="AK123" s="6" t="str">
        <f aca="false">IF($C123=AK$1,$K123,"")</f>
        <v/>
      </c>
      <c r="AL123" s="5" t="str">
        <f aca="false">IF($C123=AK$1,$F123,"")</f>
        <v/>
      </c>
      <c r="AM123" s="6" t="str">
        <f aca="false">IF($C123=AM$1,$K123,"")</f>
        <v/>
      </c>
      <c r="AN123" s="5" t="str">
        <f aca="false">IF($C123=AM$1,$F123,"")</f>
        <v/>
      </c>
      <c r="AO123" s="6" t="str">
        <f aca="false">IF($C123=AO$1,$K123,"")</f>
        <v/>
      </c>
      <c r="AP123" s="5" t="str">
        <f aca="false">IF($C123=AO$1,$F123,"")</f>
        <v/>
      </c>
      <c r="AQ123" s="5" t="n">
        <f aca="false">IF($F123="",0,IF($D123=AQ$1,$F123,0))</f>
        <v>30.71</v>
      </c>
      <c r="AR123" s="6" t="n">
        <f aca="false">IF($D123=AQ$1,N($K123)-N($L123)-N($O123),0)</f>
        <v>462.15</v>
      </c>
      <c r="AS123" s="5" t="n">
        <f aca="false">IF($F123="",0,IF($D123=AS$1,$F123,0))</f>
        <v>0</v>
      </c>
      <c r="AT123" s="6" t="n">
        <f aca="false">IF($D123=AS$1,N($K123)-N($L123)-N($O123),0)</f>
        <v>0</v>
      </c>
      <c r="AU123" s="5" t="n">
        <f aca="false">IF(N($J123)&gt;0,N($F123),0)</f>
        <v>0</v>
      </c>
      <c r="AV123" s="6" t="n">
        <f aca="false">IF(N($J123)&gt;0,$F123*$J123,0)</f>
        <v>0</v>
      </c>
    </row>
    <row r="124" customFormat="false" ht="15" hidden="false" customHeight="false" outlineLevel="0" collapsed="false">
      <c r="A124" s="16" t="n">
        <v>46232</v>
      </c>
      <c r="B124" s="4" t="s">
        <v>232</v>
      </c>
      <c r="C124" s="4" t="s">
        <v>20</v>
      </c>
      <c r="D124" s="4" t="s">
        <v>67</v>
      </c>
      <c r="E124" s="4" t="n">
        <f aca="false">E123+1</f>
        <v>122</v>
      </c>
      <c r="F124" s="5" t="n">
        <v>19.67</v>
      </c>
      <c r="G124" s="6" t="n">
        <v>650</v>
      </c>
      <c r="H124" s="6" t="n">
        <v>675</v>
      </c>
      <c r="I124" s="6"/>
      <c r="J124" s="6"/>
      <c r="K124" s="6" t="n">
        <f aca="false">IF($F124="","",$F124*$H124)</f>
        <v>13277.25</v>
      </c>
      <c r="L124" s="6" t="n">
        <f aca="false">IFERROR(ROUND($F124*$G124,-1),"")</f>
        <v>12790</v>
      </c>
      <c r="M124" s="4" t="s">
        <v>53</v>
      </c>
      <c r="N124" s="5" t="n">
        <f aca="false">IF($F124="","",IF(N($I124)&gt;0,$F124,0))</f>
        <v>0</v>
      </c>
      <c r="O124" s="6" t="n">
        <f aca="false">IF($F124="","",N($N124)*N($I124))</f>
        <v>0</v>
      </c>
      <c r="P124" s="6" t="str">
        <f aca="false">IF(OR($C124=P$1,$C124="Titan Rocks"),$K124,"")</f>
        <v/>
      </c>
      <c r="Q124" s="6" t="str">
        <f aca="false">IF($C124=Q$1,$K124,"")</f>
        <v/>
      </c>
      <c r="R124" s="5" t="str">
        <f aca="false">IF($C124=Q$1,$F124,"")</f>
        <v/>
      </c>
      <c r="S124" s="6" t="str">
        <f aca="false">IF($C124=S$1,$K124,"")</f>
        <v/>
      </c>
      <c r="T124" s="5" t="str">
        <f aca="false">IF($C124=S$1,$F124,"")</f>
        <v/>
      </c>
      <c r="U124" s="6" t="str">
        <f aca="false">IF($C124=U$1,$K124,"")</f>
        <v/>
      </c>
      <c r="V124" s="5" t="str">
        <f aca="false">IF($C124=U$1,$F124,"")</f>
        <v/>
      </c>
      <c r="W124" s="6" t="str">
        <f aca="false">IF($C124=W$1,$K124,"")</f>
        <v/>
      </c>
      <c r="X124" s="5" t="str">
        <f aca="false">IF($C124=W$1,$F124,"")</f>
        <v/>
      </c>
      <c r="Y124" s="6" t="str">
        <f aca="false">IF($C124=Y$1,$K124,"")</f>
        <v/>
      </c>
      <c r="Z124" s="5" t="str">
        <f aca="false">IF($C124=Y$1,$F124,"")</f>
        <v/>
      </c>
      <c r="AA124" s="6" t="n">
        <f aca="false">IF($C124=AA$1,$K124,"")</f>
        <v>13277.25</v>
      </c>
      <c r="AB124" s="5" t="n">
        <f aca="false">IF($C124=AA$1,$F124,"")</f>
        <v>19.67</v>
      </c>
      <c r="AC124" s="6" t="str">
        <f aca="false">IF($C124=AC$1,$K124,"")</f>
        <v/>
      </c>
      <c r="AD124" s="5" t="str">
        <f aca="false">IF($C124=AC$1,$F124,"")</f>
        <v/>
      </c>
      <c r="AE124" s="6" t="str">
        <f aca="false">IF($C124=AE$1,$K124,"")</f>
        <v/>
      </c>
      <c r="AF124" s="5" t="str">
        <f aca="false">IF($C124=AE$1,$F124,"")</f>
        <v/>
      </c>
      <c r="AG124" s="6" t="str">
        <f aca="false">IF($C124=AG$1,$K124,"")</f>
        <v/>
      </c>
      <c r="AH124" s="5" t="str">
        <f aca="false">IF($C124=AG$1,$F124,"")</f>
        <v/>
      </c>
      <c r="AI124" s="6" t="str">
        <f aca="false">IF($C124=AI$1,$K124,"")</f>
        <v/>
      </c>
      <c r="AJ124" s="5" t="str">
        <f aca="false">IF($C124=AI$1,$F124,"")</f>
        <v/>
      </c>
      <c r="AK124" s="6" t="str">
        <f aca="false">IF($C124=AK$1,$K124,"")</f>
        <v/>
      </c>
      <c r="AL124" s="5" t="str">
        <f aca="false">IF($C124=AK$1,$F124,"")</f>
        <v/>
      </c>
      <c r="AM124" s="6" t="str">
        <f aca="false">IF($C124=AM$1,$K124,"")</f>
        <v/>
      </c>
      <c r="AN124" s="5" t="str">
        <f aca="false">IF($C124=AM$1,$F124,"")</f>
        <v/>
      </c>
      <c r="AO124" s="6" t="str">
        <f aca="false">IF($C124=AO$1,$K124,"")</f>
        <v/>
      </c>
      <c r="AP124" s="5" t="str">
        <f aca="false">IF($C124=AO$1,$F124,"")</f>
        <v/>
      </c>
      <c r="AQ124" s="5" t="n">
        <f aca="false">IF($F124="",0,IF($D124=AQ$1,$F124,0))</f>
        <v>19.67</v>
      </c>
      <c r="AR124" s="6" t="n">
        <f aca="false">IF($D124=AQ$1,N($K124)-N($L124)-N($O124),0)</f>
        <v>487.250000000002</v>
      </c>
      <c r="AS124" s="5" t="n">
        <f aca="false">IF($F124="",0,IF($D124=AS$1,$F124,0))</f>
        <v>0</v>
      </c>
      <c r="AT124" s="6" t="n">
        <f aca="false">IF($D124=AS$1,N($K124)-N($L124)-N($O124),0)</f>
        <v>0</v>
      </c>
      <c r="AU124" s="5" t="n">
        <f aca="false">IF(N($J124)&gt;0,N($F124),0)</f>
        <v>0</v>
      </c>
      <c r="AV124" s="6" t="n">
        <f aca="false">IF(N($J124)&gt;0,$F124*$J124,0)</f>
        <v>0</v>
      </c>
    </row>
    <row r="125" customFormat="false" ht="15" hidden="false" customHeight="false" outlineLevel="0" collapsed="false">
      <c r="A125" s="16" t="n">
        <v>46232</v>
      </c>
      <c r="B125" s="4" t="s">
        <v>232</v>
      </c>
      <c r="C125" s="4" t="s">
        <v>19</v>
      </c>
      <c r="D125" s="4" t="s">
        <v>67</v>
      </c>
      <c r="E125" s="4" t="n">
        <f aca="false">E124+1</f>
        <v>123</v>
      </c>
      <c r="F125" s="5" t="n">
        <v>30.65</v>
      </c>
      <c r="G125" s="6" t="n">
        <v>650</v>
      </c>
      <c r="H125" s="6" t="n">
        <v>875</v>
      </c>
      <c r="I125" s="6" t="n">
        <v>210</v>
      </c>
      <c r="J125" s="6"/>
      <c r="K125" s="6" t="n">
        <f aca="false">IF($F125="","",$F125*$H125)</f>
        <v>26818.75</v>
      </c>
      <c r="L125" s="6" t="n">
        <f aca="false">IFERROR(ROUND($F125*$G125,-1),"")</f>
        <v>19920</v>
      </c>
      <c r="M125" s="4" t="s">
        <v>54</v>
      </c>
      <c r="N125" s="5" t="n">
        <f aca="false">IF($F125="","",IF(N($I125)&gt;0,$F125,0))</f>
        <v>30.65</v>
      </c>
      <c r="O125" s="6" t="n">
        <f aca="false">IF($F125="","",N($N125)*N($I125))</f>
        <v>6436.5</v>
      </c>
      <c r="P125" s="6" t="str">
        <f aca="false">IF(OR($C125=P$1,$C125="Titan Rocks"),$K125,"")</f>
        <v/>
      </c>
      <c r="Q125" s="6" t="str">
        <f aca="false">IF($C125=Q$1,$K125,"")</f>
        <v/>
      </c>
      <c r="R125" s="5" t="str">
        <f aca="false">IF($C125=Q$1,$F125,"")</f>
        <v/>
      </c>
      <c r="S125" s="6" t="str">
        <f aca="false">IF($C125=S$1,$K125,"")</f>
        <v/>
      </c>
      <c r="T125" s="5" t="str">
        <f aca="false">IF($C125=S$1,$F125,"")</f>
        <v/>
      </c>
      <c r="U125" s="6" t="str">
        <f aca="false">IF($C125=U$1,$K125,"")</f>
        <v/>
      </c>
      <c r="V125" s="5" t="str">
        <f aca="false">IF($C125=U$1,$F125,"")</f>
        <v/>
      </c>
      <c r="W125" s="6" t="str">
        <f aca="false">IF($C125=W$1,$K125,"")</f>
        <v/>
      </c>
      <c r="X125" s="5" t="str">
        <f aca="false">IF($C125=W$1,$F125,"")</f>
        <v/>
      </c>
      <c r="Y125" s="6" t="n">
        <f aca="false">IF($C125=Y$1,$K125,"")</f>
        <v>26818.75</v>
      </c>
      <c r="Z125" s="5" t="n">
        <f aca="false">IF($C125=Y$1,$F125,"")</f>
        <v>30.65</v>
      </c>
      <c r="AA125" s="6" t="str">
        <f aca="false">IF($C125=AA$1,$K125,"")</f>
        <v/>
      </c>
      <c r="AB125" s="5" t="str">
        <f aca="false">IF($C125=AA$1,$F125,"")</f>
        <v/>
      </c>
      <c r="AC125" s="6" t="str">
        <f aca="false">IF($C125=AC$1,$K125,"")</f>
        <v/>
      </c>
      <c r="AD125" s="5" t="str">
        <f aca="false">IF($C125=AC$1,$F125,"")</f>
        <v/>
      </c>
      <c r="AE125" s="6" t="str">
        <f aca="false">IF($C125=AE$1,$K125,"")</f>
        <v/>
      </c>
      <c r="AF125" s="5" t="str">
        <f aca="false">IF($C125=AE$1,$F125,"")</f>
        <v/>
      </c>
      <c r="AG125" s="6" t="str">
        <f aca="false">IF($C125=AG$1,$K125,"")</f>
        <v/>
      </c>
      <c r="AH125" s="5" t="str">
        <f aca="false">IF($C125=AG$1,$F125,"")</f>
        <v/>
      </c>
      <c r="AI125" s="6" t="str">
        <f aca="false">IF($C125=AI$1,$K125,"")</f>
        <v/>
      </c>
      <c r="AJ125" s="5" t="str">
        <f aca="false">IF($C125=AI$1,$F125,"")</f>
        <v/>
      </c>
      <c r="AK125" s="6" t="str">
        <f aca="false">IF($C125=AK$1,$K125,"")</f>
        <v/>
      </c>
      <c r="AL125" s="5" t="str">
        <f aca="false">IF($C125=AK$1,$F125,"")</f>
        <v/>
      </c>
      <c r="AM125" s="6" t="str">
        <f aca="false">IF($C125=AM$1,$K125,"")</f>
        <v/>
      </c>
      <c r="AN125" s="5" t="str">
        <f aca="false">IF($C125=AM$1,$F125,"")</f>
        <v/>
      </c>
      <c r="AO125" s="6" t="str">
        <f aca="false">IF($C125=AO$1,$K125,"")</f>
        <v/>
      </c>
      <c r="AP125" s="5" t="str">
        <f aca="false">IF($C125=AO$1,$F125,"")</f>
        <v/>
      </c>
      <c r="AQ125" s="5" t="n">
        <f aca="false">IF($F125="",0,IF($D125=AQ$1,$F125,0))</f>
        <v>30.65</v>
      </c>
      <c r="AR125" s="6" t="n">
        <f aca="false">IF($D125=AQ$1,N($K125)-N($L125)-N($O125),0)</f>
        <v>462.25</v>
      </c>
      <c r="AS125" s="5" t="n">
        <f aca="false">IF($F125="",0,IF($D125=AS$1,$F125,0))</f>
        <v>0</v>
      </c>
      <c r="AT125" s="6" t="n">
        <f aca="false">IF($D125=AS$1,N($K125)-N($L125)-N($O125),0)</f>
        <v>0</v>
      </c>
      <c r="AU125" s="5" t="n">
        <f aca="false">IF(N($J125)&gt;0,N($F125),0)</f>
        <v>0</v>
      </c>
      <c r="AV125" s="6" t="n">
        <f aca="false">IF(N($J125)&gt;0,$F125*$J125,0)</f>
        <v>0</v>
      </c>
    </row>
    <row r="126" customFormat="false" ht="15" hidden="false" customHeight="false" outlineLevel="0" collapsed="false">
      <c r="A126" s="16" t="n">
        <v>46232</v>
      </c>
      <c r="B126" s="4" t="s">
        <v>232</v>
      </c>
      <c r="C126" s="4" t="s">
        <v>15</v>
      </c>
      <c r="D126" s="4" t="s">
        <v>67</v>
      </c>
      <c r="E126" s="4" t="n">
        <f aca="false">E125+1</f>
        <v>124</v>
      </c>
      <c r="F126" s="5" t="n">
        <v>20.11</v>
      </c>
      <c r="G126" s="6" t="n">
        <v>650</v>
      </c>
      <c r="H126" s="6" t="n">
        <v>675</v>
      </c>
      <c r="I126" s="6"/>
      <c r="J126" s="6"/>
      <c r="K126" s="6" t="n">
        <f aca="false">IF($F126="","",$F126*$H126)</f>
        <v>13574.25</v>
      </c>
      <c r="L126" s="6" t="n">
        <f aca="false">IFERROR(ROUND($F126*$G126,-1),"")</f>
        <v>13070</v>
      </c>
      <c r="M126" s="4" t="s">
        <v>55</v>
      </c>
      <c r="N126" s="5" t="n">
        <f aca="false">IF($F126="","",IF(N($I126)&gt;0,$F126,0))</f>
        <v>0</v>
      </c>
      <c r="O126" s="6" t="n">
        <f aca="false">IF($F126="","",N($N126)*N($I126))</f>
        <v>0</v>
      </c>
      <c r="P126" s="6" t="str">
        <f aca="false">IF(OR($C126=P$1,$C126="Titan Rocks"),$K126,"")</f>
        <v/>
      </c>
      <c r="Q126" s="6" t="n">
        <f aca="false">IF($C126=Q$1,$K126,"")</f>
        <v>13574.25</v>
      </c>
      <c r="R126" s="5" t="n">
        <f aca="false">IF($C126=Q$1,$F126,"")</f>
        <v>20.11</v>
      </c>
      <c r="S126" s="6" t="str">
        <f aca="false">IF($C126=S$1,$K126,"")</f>
        <v/>
      </c>
      <c r="T126" s="5" t="str">
        <f aca="false">IF($C126=S$1,$F126,"")</f>
        <v/>
      </c>
      <c r="U126" s="6" t="str">
        <f aca="false">IF($C126=U$1,$K126,"")</f>
        <v/>
      </c>
      <c r="V126" s="5" t="str">
        <f aca="false">IF($C126=U$1,$F126,"")</f>
        <v/>
      </c>
      <c r="W126" s="6" t="str">
        <f aca="false">IF($C126=W$1,$K126,"")</f>
        <v/>
      </c>
      <c r="X126" s="5" t="str">
        <f aca="false">IF($C126=W$1,$F126,"")</f>
        <v/>
      </c>
      <c r="Y126" s="6" t="str">
        <f aca="false">IF($C126=Y$1,$K126,"")</f>
        <v/>
      </c>
      <c r="Z126" s="5" t="str">
        <f aca="false">IF($C126=Y$1,$F126,"")</f>
        <v/>
      </c>
      <c r="AA126" s="6" t="str">
        <f aca="false">IF($C126=AA$1,$K126,"")</f>
        <v/>
      </c>
      <c r="AB126" s="5" t="str">
        <f aca="false">IF($C126=AA$1,$F126,"")</f>
        <v/>
      </c>
      <c r="AC126" s="6" t="str">
        <f aca="false">IF($C126=AC$1,$K126,"")</f>
        <v/>
      </c>
      <c r="AD126" s="5" t="str">
        <f aca="false">IF($C126=AC$1,$F126,"")</f>
        <v/>
      </c>
      <c r="AE126" s="6" t="str">
        <f aca="false">IF($C126=AE$1,$K126,"")</f>
        <v/>
      </c>
      <c r="AF126" s="5" t="str">
        <f aca="false">IF($C126=AE$1,$F126,"")</f>
        <v/>
      </c>
      <c r="AG126" s="6" t="str">
        <f aca="false">IF($C126=AG$1,$K126,"")</f>
        <v/>
      </c>
      <c r="AH126" s="5" t="str">
        <f aca="false">IF($C126=AG$1,$F126,"")</f>
        <v/>
      </c>
      <c r="AI126" s="6" t="str">
        <f aca="false">IF($C126=AI$1,$K126,"")</f>
        <v/>
      </c>
      <c r="AJ126" s="5" t="str">
        <f aca="false">IF($C126=AI$1,$F126,"")</f>
        <v/>
      </c>
      <c r="AK126" s="6" t="str">
        <f aca="false">IF($C126=AK$1,$K126,"")</f>
        <v/>
      </c>
      <c r="AL126" s="5" t="str">
        <f aca="false">IF($C126=AK$1,$F126,"")</f>
        <v/>
      </c>
      <c r="AM126" s="6" t="str">
        <f aca="false">IF($C126=AM$1,$K126,"")</f>
        <v/>
      </c>
      <c r="AN126" s="5" t="str">
        <f aca="false">IF($C126=AM$1,$F126,"")</f>
        <v/>
      </c>
      <c r="AO126" s="6" t="str">
        <f aca="false">IF($C126=AO$1,$K126,"")</f>
        <v/>
      </c>
      <c r="AP126" s="5" t="str">
        <f aca="false">IF($C126=AO$1,$F126,"")</f>
        <v/>
      </c>
      <c r="AQ126" s="5" t="n">
        <f aca="false">IF($F126="",0,IF($D126=AQ$1,$F126,0))</f>
        <v>20.11</v>
      </c>
      <c r="AR126" s="6" t="n">
        <f aca="false">IF($D126=AQ$1,N($K126)-N($L126)-N($O126),0)</f>
        <v>504.25</v>
      </c>
      <c r="AS126" s="5" t="n">
        <f aca="false">IF($F126="",0,IF($D126=AS$1,$F126,0))</f>
        <v>0</v>
      </c>
      <c r="AT126" s="6" t="n">
        <f aca="false">IF($D126=AS$1,N($K126)-N($L126)-N($O126),0)</f>
        <v>0</v>
      </c>
      <c r="AU126" s="5" t="n">
        <f aca="false">IF(N($J126)&gt;0,N($F126),0)</f>
        <v>0</v>
      </c>
      <c r="AV126" s="6" t="n">
        <f aca="false">IF(N($J126)&gt;0,$F126*$J126,0)</f>
        <v>0</v>
      </c>
    </row>
    <row r="127" customFormat="false" ht="15" hidden="false" customHeight="false" outlineLevel="0" collapsed="false">
      <c r="A127" s="16" t="n">
        <v>46232</v>
      </c>
      <c r="B127" s="4" t="s">
        <v>232</v>
      </c>
      <c r="C127" s="4" t="s">
        <v>15</v>
      </c>
      <c r="D127" s="4" t="s">
        <v>67</v>
      </c>
      <c r="E127" s="4" t="n">
        <f aca="false">E126+1</f>
        <v>125</v>
      </c>
      <c r="F127" s="5" t="n">
        <v>21.09</v>
      </c>
      <c r="G127" s="6" t="n">
        <v>650</v>
      </c>
      <c r="H127" s="6" t="n">
        <v>675</v>
      </c>
      <c r="I127" s="6"/>
      <c r="J127" s="6"/>
      <c r="K127" s="6" t="n">
        <f aca="false">IF($F127="","",$F127*$H127)</f>
        <v>14235.75</v>
      </c>
      <c r="L127" s="6" t="n">
        <f aca="false">IFERROR(ROUND($F127*$G127,-1),"")</f>
        <v>13710</v>
      </c>
      <c r="M127" s="4" t="s">
        <v>56</v>
      </c>
      <c r="N127" s="5" t="n">
        <f aca="false">IF($F127="","",IF(N($I127)&gt;0,$F127,0))</f>
        <v>0</v>
      </c>
      <c r="O127" s="6" t="n">
        <f aca="false">IF($F127="","",N($N127)*N($I127))</f>
        <v>0</v>
      </c>
      <c r="P127" s="6" t="str">
        <f aca="false">IF(OR($C127=P$1,$C127="Titan Rocks"),$K127,"")</f>
        <v/>
      </c>
      <c r="Q127" s="6" t="n">
        <f aca="false">IF($C127=Q$1,$K127,"")</f>
        <v>14235.75</v>
      </c>
      <c r="R127" s="5" t="n">
        <f aca="false">IF($C127=Q$1,$F127,"")</f>
        <v>21.09</v>
      </c>
      <c r="S127" s="6" t="str">
        <f aca="false">IF($C127=S$1,$K127,"")</f>
        <v/>
      </c>
      <c r="T127" s="5" t="str">
        <f aca="false">IF($C127=S$1,$F127,"")</f>
        <v/>
      </c>
      <c r="U127" s="6" t="str">
        <f aca="false">IF($C127=U$1,$K127,"")</f>
        <v/>
      </c>
      <c r="V127" s="5" t="str">
        <f aca="false">IF($C127=U$1,$F127,"")</f>
        <v/>
      </c>
      <c r="W127" s="6" t="str">
        <f aca="false">IF($C127=W$1,$K127,"")</f>
        <v/>
      </c>
      <c r="X127" s="5" t="str">
        <f aca="false">IF($C127=W$1,$F127,"")</f>
        <v/>
      </c>
      <c r="Y127" s="6" t="str">
        <f aca="false">IF($C127=Y$1,$K127,"")</f>
        <v/>
      </c>
      <c r="Z127" s="5" t="str">
        <f aca="false">IF($C127=Y$1,$F127,"")</f>
        <v/>
      </c>
      <c r="AA127" s="6" t="str">
        <f aca="false">IF($C127=AA$1,$K127,"")</f>
        <v/>
      </c>
      <c r="AB127" s="5" t="str">
        <f aca="false">IF($C127=AA$1,$F127,"")</f>
        <v/>
      </c>
      <c r="AC127" s="6" t="str">
        <f aca="false">IF($C127=AC$1,$K127,"")</f>
        <v/>
      </c>
      <c r="AD127" s="5" t="str">
        <f aca="false">IF($C127=AC$1,$F127,"")</f>
        <v/>
      </c>
      <c r="AE127" s="6" t="str">
        <f aca="false">IF($C127=AE$1,$K127,"")</f>
        <v/>
      </c>
      <c r="AF127" s="5" t="str">
        <f aca="false">IF($C127=AE$1,$F127,"")</f>
        <v/>
      </c>
      <c r="AG127" s="6" t="str">
        <f aca="false">IF($C127=AG$1,$K127,"")</f>
        <v/>
      </c>
      <c r="AH127" s="5" t="str">
        <f aca="false">IF($C127=AG$1,$F127,"")</f>
        <v/>
      </c>
      <c r="AI127" s="6" t="str">
        <f aca="false">IF($C127=AI$1,$K127,"")</f>
        <v/>
      </c>
      <c r="AJ127" s="5" t="str">
        <f aca="false">IF($C127=AI$1,$F127,"")</f>
        <v/>
      </c>
      <c r="AK127" s="6" t="str">
        <f aca="false">IF($C127=AK$1,$K127,"")</f>
        <v/>
      </c>
      <c r="AL127" s="5" t="str">
        <f aca="false">IF($C127=AK$1,$F127,"")</f>
        <v/>
      </c>
      <c r="AM127" s="6" t="str">
        <f aca="false">IF($C127=AM$1,$K127,"")</f>
        <v/>
      </c>
      <c r="AN127" s="5" t="str">
        <f aca="false">IF($C127=AM$1,$F127,"")</f>
        <v/>
      </c>
      <c r="AO127" s="6" t="str">
        <f aca="false">IF($C127=AO$1,$K127,"")</f>
        <v/>
      </c>
      <c r="AP127" s="5" t="str">
        <f aca="false">IF($C127=AO$1,$F127,"")</f>
        <v/>
      </c>
      <c r="AQ127" s="5" t="n">
        <f aca="false">IF($F127="",0,IF($D127=AQ$1,$F127,0))</f>
        <v>21.09</v>
      </c>
      <c r="AR127" s="6" t="n">
        <f aca="false">IF($D127=AQ$1,N($K127)-N($L127)-N($O127),0)</f>
        <v>525.75</v>
      </c>
      <c r="AS127" s="5" t="n">
        <f aca="false">IF($F127="",0,IF($D127=AS$1,$F127,0))</f>
        <v>0</v>
      </c>
      <c r="AT127" s="6" t="n">
        <f aca="false">IF($D127=AS$1,N($K127)-N($L127)-N($O127),0)</f>
        <v>0</v>
      </c>
      <c r="AU127" s="5" t="n">
        <f aca="false">IF(N($J127)&gt;0,N($F127),0)</f>
        <v>0</v>
      </c>
      <c r="AV127" s="6" t="n">
        <f aca="false">IF(N($J127)&gt;0,$F127*$J127,0)</f>
        <v>0</v>
      </c>
    </row>
    <row r="128" customFormat="false" ht="15" hidden="false" customHeight="false" outlineLevel="0" collapsed="false">
      <c r="A128" s="16" t="n">
        <v>46232</v>
      </c>
      <c r="B128" s="4" t="s">
        <v>232</v>
      </c>
      <c r="C128" s="4" t="s">
        <v>25</v>
      </c>
      <c r="D128" s="4" t="s">
        <v>67</v>
      </c>
      <c r="E128" s="4" t="n">
        <f aca="false">E127+1</f>
        <v>126</v>
      </c>
      <c r="F128" s="5" t="n">
        <v>38.29</v>
      </c>
      <c r="G128" s="6" t="n">
        <v>650</v>
      </c>
      <c r="H128" s="6" t="n">
        <v>675</v>
      </c>
      <c r="I128" s="6"/>
      <c r="J128" s="6"/>
      <c r="K128" s="6" t="n">
        <f aca="false">IF($F128="","",$F128*$H128)</f>
        <v>25845.75</v>
      </c>
      <c r="L128" s="6" t="n">
        <f aca="false">IFERROR(ROUND($F128*$G128,-1),"")</f>
        <v>24890</v>
      </c>
      <c r="M128" s="4" t="s">
        <v>57</v>
      </c>
      <c r="N128" s="5" t="n">
        <f aca="false">IF($F128="","",IF(N($I128)&gt;0,$F128,0))</f>
        <v>0</v>
      </c>
      <c r="O128" s="6" t="n">
        <f aca="false">IF($F128="","",N($N128)*N($I128))</f>
        <v>0</v>
      </c>
      <c r="P128" s="6" t="str">
        <f aca="false">IF(OR($C128=P$1,$C128="Titan Rocks"),$K128,"")</f>
        <v/>
      </c>
      <c r="Q128" s="6" t="str">
        <f aca="false">IF($C128=Q$1,$K128,"")</f>
        <v/>
      </c>
      <c r="R128" s="5" t="str">
        <f aca="false">IF($C128=Q$1,$F128,"")</f>
        <v/>
      </c>
      <c r="S128" s="6" t="str">
        <f aca="false">IF($C128=S$1,$K128,"")</f>
        <v/>
      </c>
      <c r="T128" s="5" t="str">
        <f aca="false">IF($C128=S$1,$F128,"")</f>
        <v/>
      </c>
      <c r="U128" s="6" t="str">
        <f aca="false">IF($C128=U$1,$K128,"")</f>
        <v/>
      </c>
      <c r="V128" s="5" t="str">
        <f aca="false">IF($C128=U$1,$F128,"")</f>
        <v/>
      </c>
      <c r="W128" s="6" t="str">
        <f aca="false">IF($C128=W$1,$K128,"")</f>
        <v/>
      </c>
      <c r="X128" s="5" t="str">
        <f aca="false">IF($C128=W$1,$F128,"")</f>
        <v/>
      </c>
      <c r="Y128" s="6" t="str">
        <f aca="false">IF($C128=Y$1,$K128,"")</f>
        <v/>
      </c>
      <c r="Z128" s="5" t="str">
        <f aca="false">IF($C128=Y$1,$F128,"")</f>
        <v/>
      </c>
      <c r="AA128" s="6" t="str">
        <f aca="false">IF($C128=AA$1,$K128,"")</f>
        <v/>
      </c>
      <c r="AB128" s="5" t="str">
        <f aca="false">IF($C128=AA$1,$F128,"")</f>
        <v/>
      </c>
      <c r="AC128" s="6" t="str">
        <f aca="false">IF($C128=AC$1,$K128,"")</f>
        <v/>
      </c>
      <c r="AD128" s="5" t="str">
        <f aca="false">IF($C128=AC$1,$F128,"")</f>
        <v/>
      </c>
      <c r="AE128" s="6" t="str">
        <f aca="false">IF($C128=AE$1,$K128,"")</f>
        <v/>
      </c>
      <c r="AF128" s="5" t="str">
        <f aca="false">IF($C128=AE$1,$F128,"")</f>
        <v/>
      </c>
      <c r="AG128" s="6" t="str">
        <f aca="false">IF($C128=AG$1,$K128,"")</f>
        <v/>
      </c>
      <c r="AH128" s="5" t="str">
        <f aca="false">IF($C128=AG$1,$F128,"")</f>
        <v/>
      </c>
      <c r="AI128" s="6" t="str">
        <f aca="false">IF($C128=AI$1,$K128,"")</f>
        <v/>
      </c>
      <c r="AJ128" s="5" t="str">
        <f aca="false">IF($C128=AI$1,$F128,"")</f>
        <v/>
      </c>
      <c r="AK128" s="6" t="n">
        <f aca="false">IF($C128=AK$1,$K128,"")</f>
        <v>25845.75</v>
      </c>
      <c r="AL128" s="5" t="n">
        <f aca="false">IF($C128=AK$1,$F128,"")</f>
        <v>38.29</v>
      </c>
      <c r="AM128" s="6" t="str">
        <f aca="false">IF($C128=AM$1,$K128,"")</f>
        <v/>
      </c>
      <c r="AN128" s="5" t="str">
        <f aca="false">IF($C128=AM$1,$F128,"")</f>
        <v/>
      </c>
      <c r="AO128" s="6" t="str">
        <f aca="false">IF($C128=AO$1,$K128,"")</f>
        <v/>
      </c>
      <c r="AP128" s="5" t="str">
        <f aca="false">IF($C128=AO$1,$F128,"")</f>
        <v/>
      </c>
      <c r="AQ128" s="5" t="n">
        <f aca="false">IF($F128="",0,IF($D128=AQ$1,$F128,0))</f>
        <v>38.29</v>
      </c>
      <c r="AR128" s="6" t="n">
        <f aca="false">IF($D128=AQ$1,N($K128)-N($L128)-N($O128),0)</f>
        <v>955.75</v>
      </c>
      <c r="AS128" s="5" t="n">
        <f aca="false">IF($F128="",0,IF($D128=AS$1,$F128,0))</f>
        <v>0</v>
      </c>
      <c r="AT128" s="6" t="n">
        <f aca="false">IF($D128=AS$1,N($K128)-N($L128)-N($O128),0)</f>
        <v>0</v>
      </c>
      <c r="AU128" s="5" t="n">
        <f aca="false">IF(N($J128)&gt;0,N($F128),0)</f>
        <v>0</v>
      </c>
      <c r="AV128" s="6" t="n">
        <f aca="false">IF(N($J128)&gt;0,$F128*$J128,0)</f>
        <v>0</v>
      </c>
    </row>
    <row r="129" customFormat="false" ht="15" hidden="false" customHeight="false" outlineLevel="0" collapsed="false">
      <c r="A129" s="16" t="n">
        <v>46232</v>
      </c>
      <c r="B129" s="4" t="s">
        <v>232</v>
      </c>
      <c r="C129" s="4" t="s">
        <v>25</v>
      </c>
      <c r="D129" s="4" t="s">
        <v>67</v>
      </c>
      <c r="E129" s="4" t="n">
        <f aca="false">E128+1</f>
        <v>127</v>
      </c>
      <c r="F129" s="5" t="n">
        <v>32.78</v>
      </c>
      <c r="G129" s="6" t="n">
        <v>650</v>
      </c>
      <c r="H129" s="6" t="n">
        <v>675</v>
      </c>
      <c r="I129" s="6"/>
      <c r="J129" s="6"/>
      <c r="K129" s="6" t="n">
        <f aca="false">IF($F129="","",$F129*$H129)</f>
        <v>22126.5</v>
      </c>
      <c r="L129" s="6" t="n">
        <f aca="false">IFERROR(ROUND($F129*$G129,-1),"")</f>
        <v>21310</v>
      </c>
      <c r="M129" s="4" t="s">
        <v>58</v>
      </c>
      <c r="N129" s="5" t="n">
        <f aca="false">IF($F129="","",IF(N($I129)&gt;0,$F129,0))</f>
        <v>0</v>
      </c>
      <c r="O129" s="6" t="n">
        <f aca="false">IF($F129="","",N($N129)*N($I129))</f>
        <v>0</v>
      </c>
      <c r="P129" s="6" t="str">
        <f aca="false">IF(OR($C129=P$1,$C129="Titan Rocks"),$K129,"")</f>
        <v/>
      </c>
      <c r="Q129" s="6" t="str">
        <f aca="false">IF($C129=Q$1,$K129,"")</f>
        <v/>
      </c>
      <c r="R129" s="5" t="str">
        <f aca="false">IF($C129=Q$1,$F129,"")</f>
        <v/>
      </c>
      <c r="S129" s="6" t="str">
        <f aca="false">IF($C129=S$1,$K129,"")</f>
        <v/>
      </c>
      <c r="T129" s="5" t="str">
        <f aca="false">IF($C129=S$1,$F129,"")</f>
        <v/>
      </c>
      <c r="U129" s="6" t="str">
        <f aca="false">IF($C129=U$1,$K129,"")</f>
        <v/>
      </c>
      <c r="V129" s="5" t="str">
        <f aca="false">IF($C129=U$1,$F129,"")</f>
        <v/>
      </c>
      <c r="W129" s="6" t="str">
        <f aca="false">IF($C129=W$1,$K129,"")</f>
        <v/>
      </c>
      <c r="X129" s="5" t="str">
        <f aca="false">IF($C129=W$1,$F129,"")</f>
        <v/>
      </c>
      <c r="Y129" s="6" t="str">
        <f aca="false">IF($C129=Y$1,$K129,"")</f>
        <v/>
      </c>
      <c r="Z129" s="5" t="str">
        <f aca="false">IF($C129=Y$1,$F129,"")</f>
        <v/>
      </c>
      <c r="AA129" s="6" t="str">
        <f aca="false">IF($C129=AA$1,$K129,"")</f>
        <v/>
      </c>
      <c r="AB129" s="5" t="str">
        <f aca="false">IF($C129=AA$1,$F129,"")</f>
        <v/>
      </c>
      <c r="AC129" s="6" t="str">
        <f aca="false">IF($C129=AC$1,$K129,"")</f>
        <v/>
      </c>
      <c r="AD129" s="5" t="str">
        <f aca="false">IF($C129=AC$1,$F129,"")</f>
        <v/>
      </c>
      <c r="AE129" s="6" t="str">
        <f aca="false">IF($C129=AE$1,$K129,"")</f>
        <v/>
      </c>
      <c r="AF129" s="5" t="str">
        <f aca="false">IF($C129=AE$1,$F129,"")</f>
        <v/>
      </c>
      <c r="AG129" s="6" t="str">
        <f aca="false">IF($C129=AG$1,$K129,"")</f>
        <v/>
      </c>
      <c r="AH129" s="5" t="str">
        <f aca="false">IF($C129=AG$1,$F129,"")</f>
        <v/>
      </c>
      <c r="AI129" s="6" t="str">
        <f aca="false">IF($C129=AI$1,$K129,"")</f>
        <v/>
      </c>
      <c r="AJ129" s="5" t="str">
        <f aca="false">IF($C129=AI$1,$F129,"")</f>
        <v/>
      </c>
      <c r="AK129" s="6" t="n">
        <f aca="false">IF($C129=AK$1,$K129,"")</f>
        <v>22126.5</v>
      </c>
      <c r="AL129" s="5" t="n">
        <f aca="false">IF($C129=AK$1,$F129,"")</f>
        <v>32.78</v>
      </c>
      <c r="AM129" s="6" t="str">
        <f aca="false">IF($C129=AM$1,$K129,"")</f>
        <v/>
      </c>
      <c r="AN129" s="5" t="str">
        <f aca="false">IF($C129=AM$1,$F129,"")</f>
        <v/>
      </c>
      <c r="AO129" s="6" t="str">
        <f aca="false">IF($C129=AO$1,$K129,"")</f>
        <v/>
      </c>
      <c r="AP129" s="5" t="str">
        <f aca="false">IF($C129=AO$1,$F129,"")</f>
        <v/>
      </c>
      <c r="AQ129" s="5" t="n">
        <f aca="false">IF($F129="",0,IF($D129=AQ$1,$F129,0))</f>
        <v>32.78</v>
      </c>
      <c r="AR129" s="6" t="n">
        <f aca="false">IF($D129=AQ$1,N($K129)-N($L129)-N($O129),0)</f>
        <v>816.5</v>
      </c>
      <c r="AS129" s="5" t="n">
        <f aca="false">IF($F129="",0,IF($D129=AS$1,$F129,0))</f>
        <v>0</v>
      </c>
      <c r="AT129" s="6" t="n">
        <f aca="false">IF($D129=AS$1,N($K129)-N($L129)-N($O129),0)</f>
        <v>0</v>
      </c>
      <c r="AU129" s="5" t="n">
        <f aca="false">IF(N($J129)&gt;0,N($F129),0)</f>
        <v>0</v>
      </c>
      <c r="AV129" s="6" t="n">
        <f aca="false">IF(N($J129)&gt;0,$F129*$J129,0)</f>
        <v>0</v>
      </c>
    </row>
    <row r="130" customFormat="false" ht="15" hidden="false" customHeight="false" outlineLevel="0" collapsed="false">
      <c r="A130" s="16" t="n">
        <v>46232</v>
      </c>
      <c r="B130" s="4" t="s">
        <v>232</v>
      </c>
      <c r="C130" s="4" t="s">
        <v>16</v>
      </c>
      <c r="D130" s="4" t="s">
        <v>67</v>
      </c>
      <c r="E130" s="4" t="n">
        <f aca="false">E129+1</f>
        <v>128</v>
      </c>
      <c r="F130" s="5" t="n">
        <v>34.01</v>
      </c>
      <c r="G130" s="6" t="n">
        <v>650</v>
      </c>
      <c r="H130" s="6" t="n">
        <v>900</v>
      </c>
      <c r="I130" s="6" t="n">
        <v>220</v>
      </c>
      <c r="J130" s="6"/>
      <c r="K130" s="6" t="n">
        <f aca="false">IF($F130="","",$F130*$H130)</f>
        <v>30609</v>
      </c>
      <c r="L130" s="6" t="n">
        <f aca="false">IFERROR(ROUND($F130*$G130,-1),"")</f>
        <v>22110</v>
      </c>
      <c r="M130" s="4" t="s">
        <v>59</v>
      </c>
      <c r="N130" s="5" t="n">
        <f aca="false">IF($F130="","",IF(N($I130)&gt;0,$F130,0))</f>
        <v>34.01</v>
      </c>
      <c r="O130" s="6" t="n">
        <f aca="false">IF($F130="","",N($N130)*N($I130))</f>
        <v>7482.2</v>
      </c>
      <c r="P130" s="6" t="str">
        <f aca="false">IF(OR($C130=P$1,$C130="Titan Rocks"),$K130,"")</f>
        <v/>
      </c>
      <c r="Q130" s="6" t="str">
        <f aca="false">IF($C130=Q$1,$K130,"")</f>
        <v/>
      </c>
      <c r="R130" s="5" t="str">
        <f aca="false">IF($C130=Q$1,$F130,"")</f>
        <v/>
      </c>
      <c r="S130" s="6" t="n">
        <f aca="false">IF($C130=S$1,$K130,"")</f>
        <v>30609</v>
      </c>
      <c r="T130" s="5" t="n">
        <f aca="false">IF($C130=S$1,$F130,"")</f>
        <v>34.01</v>
      </c>
      <c r="U130" s="6" t="str">
        <f aca="false">IF($C130=U$1,$K130,"")</f>
        <v/>
      </c>
      <c r="V130" s="5" t="str">
        <f aca="false">IF($C130=U$1,$F130,"")</f>
        <v/>
      </c>
      <c r="W130" s="6" t="str">
        <f aca="false">IF($C130=W$1,$K130,"")</f>
        <v/>
      </c>
      <c r="X130" s="5" t="str">
        <f aca="false">IF($C130=W$1,$F130,"")</f>
        <v/>
      </c>
      <c r="Y130" s="6" t="str">
        <f aca="false">IF($C130=Y$1,$K130,"")</f>
        <v/>
      </c>
      <c r="Z130" s="5" t="str">
        <f aca="false">IF($C130=Y$1,$F130,"")</f>
        <v/>
      </c>
      <c r="AA130" s="6" t="str">
        <f aca="false">IF($C130=AA$1,$K130,"")</f>
        <v/>
      </c>
      <c r="AB130" s="5" t="str">
        <f aca="false">IF($C130=AA$1,$F130,"")</f>
        <v/>
      </c>
      <c r="AC130" s="6" t="str">
        <f aca="false">IF($C130=AC$1,$K130,"")</f>
        <v/>
      </c>
      <c r="AD130" s="5" t="str">
        <f aca="false">IF($C130=AC$1,$F130,"")</f>
        <v/>
      </c>
      <c r="AE130" s="6" t="str">
        <f aca="false">IF($C130=AE$1,$K130,"")</f>
        <v/>
      </c>
      <c r="AF130" s="5" t="str">
        <f aca="false">IF($C130=AE$1,$F130,"")</f>
        <v/>
      </c>
      <c r="AG130" s="6" t="str">
        <f aca="false">IF($C130=AG$1,$K130,"")</f>
        <v/>
      </c>
      <c r="AH130" s="5" t="str">
        <f aca="false">IF($C130=AG$1,$F130,"")</f>
        <v/>
      </c>
      <c r="AI130" s="6" t="str">
        <f aca="false">IF($C130=AI$1,$K130,"")</f>
        <v/>
      </c>
      <c r="AJ130" s="5" t="str">
        <f aca="false">IF($C130=AI$1,$F130,"")</f>
        <v/>
      </c>
      <c r="AK130" s="6" t="str">
        <f aca="false">IF($C130=AK$1,$K130,"")</f>
        <v/>
      </c>
      <c r="AL130" s="5" t="str">
        <f aca="false">IF($C130=AK$1,$F130,"")</f>
        <v/>
      </c>
      <c r="AM130" s="6" t="str">
        <f aca="false">IF($C130=AM$1,$K130,"")</f>
        <v/>
      </c>
      <c r="AN130" s="5" t="str">
        <f aca="false">IF($C130=AM$1,$F130,"")</f>
        <v/>
      </c>
      <c r="AO130" s="6" t="str">
        <f aca="false">IF($C130=AO$1,$K130,"")</f>
        <v/>
      </c>
      <c r="AP130" s="5" t="str">
        <f aca="false">IF($C130=AO$1,$F130,"")</f>
        <v/>
      </c>
      <c r="AQ130" s="5" t="n">
        <f aca="false">IF($F130="",0,IF($D130=AQ$1,$F130,0))</f>
        <v>34.01</v>
      </c>
      <c r="AR130" s="6" t="n">
        <f aca="false">IF($D130=AQ$1,N($K130)-N($L130)-N($O130),0)</f>
        <v>1016.8</v>
      </c>
      <c r="AS130" s="5" t="n">
        <f aca="false">IF($F130="",0,IF($D130=AS$1,$F130,0))</f>
        <v>0</v>
      </c>
      <c r="AT130" s="6" t="n">
        <f aca="false">IF($D130=AS$1,N($K130)-N($L130)-N($O130),0)</f>
        <v>0</v>
      </c>
      <c r="AU130" s="5" t="n">
        <f aca="false">IF(N($J130)&gt;0,N($F130),0)</f>
        <v>0</v>
      </c>
      <c r="AV130" s="6" t="n">
        <f aca="false">IF(N($J130)&gt;0,$F130*$J130,0)</f>
        <v>0</v>
      </c>
    </row>
    <row r="131" customFormat="false" ht="15" hidden="false" customHeight="false" outlineLevel="0" collapsed="false">
      <c r="A131" s="16" t="n">
        <v>46232</v>
      </c>
      <c r="B131" s="4" t="s">
        <v>232</v>
      </c>
      <c r="C131" s="4" t="s">
        <v>18</v>
      </c>
      <c r="D131" s="4" t="s">
        <v>67</v>
      </c>
      <c r="E131" s="4" t="n">
        <f aca="false">E130+1</f>
        <v>129</v>
      </c>
      <c r="F131" s="5" t="n">
        <v>33.53</v>
      </c>
      <c r="G131" s="6" t="n">
        <v>640</v>
      </c>
      <c r="H131" s="6" t="n">
        <v>870</v>
      </c>
      <c r="I131" s="6" t="n">
        <v>215</v>
      </c>
      <c r="J131" s="6" t="n">
        <v>20</v>
      </c>
      <c r="K131" s="6" t="n">
        <f aca="false">IF($F131="","",$F131*$H131)</f>
        <v>29171.1</v>
      </c>
      <c r="L131" s="6" t="n">
        <f aca="false">IFERROR(ROUND($F131*$G131,-1),"")</f>
        <v>21460</v>
      </c>
      <c r="M131" s="4" t="s">
        <v>33</v>
      </c>
      <c r="N131" s="5" t="n">
        <f aca="false">IF($F131="","",IF(N($I131)&gt;0,$F131,0))</f>
        <v>33.53</v>
      </c>
      <c r="O131" s="6" t="n">
        <f aca="false">IF($F131="","",N($N131)*N($I131))</f>
        <v>7208.95</v>
      </c>
      <c r="P131" s="6" t="str">
        <f aca="false">IF(OR($C131=P$1,$C131="Titan Rocks"),$K131,"")</f>
        <v/>
      </c>
      <c r="Q131" s="6" t="str">
        <f aca="false">IF($C131=Q$1,$K131,"")</f>
        <v/>
      </c>
      <c r="R131" s="5" t="str">
        <f aca="false">IF($C131=Q$1,$F131,"")</f>
        <v/>
      </c>
      <c r="S131" s="6" t="str">
        <f aca="false">IF($C131=S$1,$K131,"")</f>
        <v/>
      </c>
      <c r="T131" s="5" t="str">
        <f aca="false">IF($C131=S$1,$F131,"")</f>
        <v/>
      </c>
      <c r="U131" s="6" t="str">
        <f aca="false">IF($C131=U$1,$K131,"")</f>
        <v/>
      </c>
      <c r="V131" s="5" t="str">
        <f aca="false">IF($C131=U$1,$F131,"")</f>
        <v/>
      </c>
      <c r="W131" s="6" t="n">
        <f aca="false">IF($C131=W$1,$K131,"")</f>
        <v>29171.1</v>
      </c>
      <c r="X131" s="5" t="n">
        <f aca="false">IF($C131=W$1,$F131,"")</f>
        <v>33.53</v>
      </c>
      <c r="Y131" s="6" t="str">
        <f aca="false">IF($C131=Y$1,$K131,"")</f>
        <v/>
      </c>
      <c r="Z131" s="5" t="str">
        <f aca="false">IF($C131=Y$1,$F131,"")</f>
        <v/>
      </c>
      <c r="AA131" s="6" t="str">
        <f aca="false">IF($C131=AA$1,$K131,"")</f>
        <v/>
      </c>
      <c r="AB131" s="5" t="str">
        <f aca="false">IF($C131=AA$1,$F131,"")</f>
        <v/>
      </c>
      <c r="AC131" s="6" t="str">
        <f aca="false">IF($C131=AC$1,$K131,"")</f>
        <v/>
      </c>
      <c r="AD131" s="5" t="str">
        <f aca="false">IF($C131=AC$1,$F131,"")</f>
        <v/>
      </c>
      <c r="AE131" s="6" t="str">
        <f aca="false">IF($C131=AE$1,$K131,"")</f>
        <v/>
      </c>
      <c r="AF131" s="5" t="str">
        <f aca="false">IF($C131=AE$1,$F131,"")</f>
        <v/>
      </c>
      <c r="AG131" s="6" t="str">
        <f aca="false">IF($C131=AG$1,$K131,"")</f>
        <v/>
      </c>
      <c r="AH131" s="5" t="str">
        <f aca="false">IF($C131=AG$1,$F131,"")</f>
        <v/>
      </c>
      <c r="AI131" s="6" t="str">
        <f aca="false">IF($C131=AI$1,$K131,"")</f>
        <v/>
      </c>
      <c r="AJ131" s="5" t="str">
        <f aca="false">IF($C131=AI$1,$F131,"")</f>
        <v/>
      </c>
      <c r="AK131" s="6" t="str">
        <f aca="false">IF($C131=AK$1,$K131,"")</f>
        <v/>
      </c>
      <c r="AL131" s="5" t="str">
        <f aca="false">IF($C131=AK$1,$F131,"")</f>
        <v/>
      </c>
      <c r="AM131" s="6" t="str">
        <f aca="false">IF($C131=AM$1,$K131,"")</f>
        <v/>
      </c>
      <c r="AN131" s="5" t="str">
        <f aca="false">IF($C131=AM$1,$F131,"")</f>
        <v/>
      </c>
      <c r="AO131" s="6" t="str">
        <f aca="false">IF($C131=AO$1,$K131,"")</f>
        <v/>
      </c>
      <c r="AP131" s="5" t="str">
        <f aca="false">IF($C131=AO$1,$F131,"")</f>
        <v/>
      </c>
      <c r="AQ131" s="5" t="n">
        <f aca="false">IF($F131="",0,IF($D131=AQ$1,$F131,0))</f>
        <v>33.53</v>
      </c>
      <c r="AR131" s="6" t="n">
        <f aca="false">IF($D131=AQ$1,N($K131)-N($L131)-N($O131),0)</f>
        <v>502.150000000002</v>
      </c>
      <c r="AS131" s="5" t="n">
        <f aca="false">IF($F131="",0,IF($D131=AS$1,$F131,0))</f>
        <v>0</v>
      </c>
      <c r="AT131" s="6" t="n">
        <f aca="false">IF($D131=AS$1,N($K131)-N($L131)-N($O131),0)</f>
        <v>0</v>
      </c>
      <c r="AU131" s="5" t="n">
        <f aca="false">IF(N($J131)&gt;0,N($F131),0)</f>
        <v>33.53</v>
      </c>
      <c r="AV131" s="6" t="n">
        <f aca="false">IF(N($J131)&gt;0,$F131*$J131,0)</f>
        <v>670.6</v>
      </c>
    </row>
    <row r="132" customFormat="false" ht="15" hidden="false" customHeight="false" outlineLevel="0" collapsed="false">
      <c r="A132" s="16" t="n">
        <v>46232</v>
      </c>
      <c r="B132" s="4" t="s">
        <v>232</v>
      </c>
      <c r="C132" s="4" t="s">
        <v>18</v>
      </c>
      <c r="D132" s="4" t="s">
        <v>68</v>
      </c>
      <c r="E132" s="4" t="n">
        <f aca="false">E131+1</f>
        <v>130</v>
      </c>
      <c r="F132" s="5" t="n">
        <v>31.9</v>
      </c>
      <c r="G132" s="6" t="n">
        <v>610</v>
      </c>
      <c r="H132" s="6" t="n">
        <v>870</v>
      </c>
      <c r="I132" s="6" t="n">
        <v>215</v>
      </c>
      <c r="J132" s="6" t="n">
        <v>20</v>
      </c>
      <c r="K132" s="6" t="n">
        <f aca="false">IF($F132="","",$F132*$H132)</f>
        <v>27753</v>
      </c>
      <c r="L132" s="6" t="n">
        <f aca="false">IFERROR(ROUND($F132*$G132,-1),"")</f>
        <v>19460</v>
      </c>
      <c r="M132" s="4" t="s">
        <v>60</v>
      </c>
      <c r="N132" s="5" t="n">
        <f aca="false">IF($F132="","",IF(N($I132)&gt;0,$F132,0))</f>
        <v>31.9</v>
      </c>
      <c r="O132" s="6" t="n">
        <f aca="false">IF($F132="","",N($N132)*N($I132))</f>
        <v>6858.5</v>
      </c>
      <c r="P132" s="6" t="str">
        <f aca="false">IF(OR($C132=P$1,$C132="Titan Rocks"),$K132,"")</f>
        <v/>
      </c>
      <c r="Q132" s="6" t="str">
        <f aca="false">IF($C132=Q$1,$K132,"")</f>
        <v/>
      </c>
      <c r="R132" s="5" t="str">
        <f aca="false">IF($C132=Q$1,$F132,"")</f>
        <v/>
      </c>
      <c r="S132" s="6" t="str">
        <f aca="false">IF($C132=S$1,$K132,"")</f>
        <v/>
      </c>
      <c r="T132" s="5" t="str">
        <f aca="false">IF($C132=S$1,$F132,"")</f>
        <v/>
      </c>
      <c r="U132" s="6" t="str">
        <f aca="false">IF($C132=U$1,$K132,"")</f>
        <v/>
      </c>
      <c r="V132" s="5" t="str">
        <f aca="false">IF($C132=U$1,$F132,"")</f>
        <v/>
      </c>
      <c r="W132" s="6" t="n">
        <f aca="false">IF($C132=W$1,$K132,"")</f>
        <v>27753</v>
      </c>
      <c r="X132" s="5" t="n">
        <f aca="false">IF($C132=W$1,$F132,"")</f>
        <v>31.9</v>
      </c>
      <c r="Y132" s="6" t="str">
        <f aca="false">IF($C132=Y$1,$K132,"")</f>
        <v/>
      </c>
      <c r="Z132" s="5" t="str">
        <f aca="false">IF($C132=Y$1,$F132,"")</f>
        <v/>
      </c>
      <c r="AA132" s="6" t="str">
        <f aca="false">IF($C132=AA$1,$K132,"")</f>
        <v/>
      </c>
      <c r="AB132" s="5" t="str">
        <f aca="false">IF($C132=AA$1,$F132,"")</f>
        <v/>
      </c>
      <c r="AC132" s="6" t="str">
        <f aca="false">IF($C132=AC$1,$K132,"")</f>
        <v/>
      </c>
      <c r="AD132" s="5" t="str">
        <f aca="false">IF($C132=AC$1,$F132,"")</f>
        <v/>
      </c>
      <c r="AE132" s="6" t="str">
        <f aca="false">IF($C132=AE$1,$K132,"")</f>
        <v/>
      </c>
      <c r="AF132" s="5" t="str">
        <f aca="false">IF($C132=AE$1,$F132,"")</f>
        <v/>
      </c>
      <c r="AG132" s="6" t="str">
        <f aca="false">IF($C132=AG$1,$K132,"")</f>
        <v/>
      </c>
      <c r="AH132" s="5" t="str">
        <f aca="false">IF($C132=AG$1,$F132,"")</f>
        <v/>
      </c>
      <c r="AI132" s="6" t="str">
        <f aca="false">IF($C132=AI$1,$K132,"")</f>
        <v/>
      </c>
      <c r="AJ132" s="5" t="str">
        <f aca="false">IF($C132=AI$1,$F132,"")</f>
        <v/>
      </c>
      <c r="AK132" s="6" t="str">
        <f aca="false">IF($C132=AK$1,$K132,"")</f>
        <v/>
      </c>
      <c r="AL132" s="5" t="str">
        <f aca="false">IF($C132=AK$1,$F132,"")</f>
        <v/>
      </c>
      <c r="AM132" s="6" t="str">
        <f aca="false">IF($C132=AM$1,$K132,"")</f>
        <v/>
      </c>
      <c r="AN132" s="5" t="str">
        <f aca="false">IF($C132=AM$1,$F132,"")</f>
        <v/>
      </c>
      <c r="AO132" s="6" t="str">
        <f aca="false">IF($C132=AO$1,$K132,"")</f>
        <v/>
      </c>
      <c r="AP132" s="5" t="str">
        <f aca="false">IF($C132=AO$1,$F132,"")</f>
        <v/>
      </c>
      <c r="AQ132" s="5" t="n">
        <f aca="false">IF($F132="",0,IF($D132=AQ$1,$F132,0))</f>
        <v>0</v>
      </c>
      <c r="AR132" s="6" t="n">
        <f aca="false">IF($D132=AQ$1,N($K132)-N($L132)-N($O132),0)</f>
        <v>0</v>
      </c>
      <c r="AS132" s="5" t="n">
        <f aca="false">IF($F132="",0,IF($D132=AS$1,$F132,0))</f>
        <v>31.9</v>
      </c>
      <c r="AT132" s="6" t="n">
        <f aca="false">IF($D132=AS$1,N($K132)-N($L132)-N($O132),0)</f>
        <v>1434.5</v>
      </c>
      <c r="AU132" s="5" t="n">
        <f aca="false">IF(N($J132)&gt;0,N($F132),0)</f>
        <v>31.9</v>
      </c>
      <c r="AV132" s="6" t="n">
        <f aca="false">IF(N($J132)&gt;0,$F132*$J132,0)</f>
        <v>638</v>
      </c>
    </row>
    <row r="133" customFormat="false" ht="15" hidden="false" customHeight="false" outlineLevel="0" collapsed="false">
      <c r="A133" s="16" t="n">
        <v>46232</v>
      </c>
      <c r="B133" s="4" t="s">
        <v>232</v>
      </c>
      <c r="C133" s="4" t="s">
        <v>18</v>
      </c>
      <c r="D133" s="4" t="s">
        <v>68</v>
      </c>
      <c r="E133" s="4" t="n">
        <f aca="false">E132+1</f>
        <v>131</v>
      </c>
      <c r="F133" s="5" t="n">
        <v>31.04</v>
      </c>
      <c r="G133" s="6" t="n">
        <v>610</v>
      </c>
      <c r="H133" s="6" t="n">
        <v>870</v>
      </c>
      <c r="I133" s="6" t="n">
        <v>215</v>
      </c>
      <c r="J133" s="6" t="n">
        <v>20</v>
      </c>
      <c r="K133" s="6" t="n">
        <f aca="false">IF($F133="","",$F133*$H133)</f>
        <v>27004.8</v>
      </c>
      <c r="L133" s="6" t="n">
        <f aca="false">IFERROR(ROUND($F133*$G133,-1),"")</f>
        <v>18930</v>
      </c>
      <c r="M133" s="4" t="s">
        <v>46</v>
      </c>
      <c r="N133" s="5" t="n">
        <f aca="false">IF($F133="","",IF(N($I133)&gt;0,$F133,0))</f>
        <v>31.04</v>
      </c>
      <c r="O133" s="6" t="n">
        <f aca="false">IF($F133="","",N($N133)*N($I133))</f>
        <v>6673.6</v>
      </c>
      <c r="P133" s="6" t="str">
        <f aca="false">IF(OR($C133=P$1,$C133="Titan Rocks"),$K133,"")</f>
        <v/>
      </c>
      <c r="Q133" s="6" t="str">
        <f aca="false">IF($C133=Q$1,$K133,"")</f>
        <v/>
      </c>
      <c r="R133" s="5" t="str">
        <f aca="false">IF($C133=Q$1,$F133,"")</f>
        <v/>
      </c>
      <c r="S133" s="6" t="str">
        <f aca="false">IF($C133=S$1,$K133,"")</f>
        <v/>
      </c>
      <c r="T133" s="5" t="str">
        <f aca="false">IF($C133=S$1,$F133,"")</f>
        <v/>
      </c>
      <c r="U133" s="6" t="str">
        <f aca="false">IF($C133=U$1,$K133,"")</f>
        <v/>
      </c>
      <c r="V133" s="5" t="str">
        <f aca="false">IF($C133=U$1,$F133,"")</f>
        <v/>
      </c>
      <c r="W133" s="6" t="n">
        <f aca="false">IF($C133=W$1,$K133,"")</f>
        <v>27004.8</v>
      </c>
      <c r="X133" s="5" t="n">
        <f aca="false">IF($C133=W$1,$F133,"")</f>
        <v>31.04</v>
      </c>
      <c r="Y133" s="6" t="str">
        <f aca="false">IF($C133=Y$1,$K133,"")</f>
        <v/>
      </c>
      <c r="Z133" s="5" t="str">
        <f aca="false">IF($C133=Y$1,$F133,"")</f>
        <v/>
      </c>
      <c r="AA133" s="6" t="str">
        <f aca="false">IF($C133=AA$1,$K133,"")</f>
        <v/>
      </c>
      <c r="AB133" s="5" t="str">
        <f aca="false">IF($C133=AA$1,$F133,"")</f>
        <v/>
      </c>
      <c r="AC133" s="6" t="str">
        <f aca="false">IF($C133=AC$1,$K133,"")</f>
        <v/>
      </c>
      <c r="AD133" s="5" t="str">
        <f aca="false">IF($C133=AC$1,$F133,"")</f>
        <v/>
      </c>
      <c r="AE133" s="6" t="str">
        <f aca="false">IF($C133=AE$1,$K133,"")</f>
        <v/>
      </c>
      <c r="AF133" s="5" t="str">
        <f aca="false">IF($C133=AE$1,$F133,"")</f>
        <v/>
      </c>
      <c r="AG133" s="6" t="str">
        <f aca="false">IF($C133=AG$1,$K133,"")</f>
        <v/>
      </c>
      <c r="AH133" s="5" t="str">
        <f aca="false">IF($C133=AG$1,$F133,"")</f>
        <v/>
      </c>
      <c r="AI133" s="6" t="str">
        <f aca="false">IF($C133=AI$1,$K133,"")</f>
        <v/>
      </c>
      <c r="AJ133" s="5" t="str">
        <f aca="false">IF($C133=AI$1,$F133,"")</f>
        <v/>
      </c>
      <c r="AK133" s="6" t="str">
        <f aca="false">IF($C133=AK$1,$K133,"")</f>
        <v/>
      </c>
      <c r="AL133" s="5" t="str">
        <f aca="false">IF($C133=AK$1,$F133,"")</f>
        <v/>
      </c>
      <c r="AM133" s="6" t="str">
        <f aca="false">IF($C133=AM$1,$K133,"")</f>
        <v/>
      </c>
      <c r="AN133" s="5" t="str">
        <f aca="false">IF($C133=AM$1,$F133,"")</f>
        <v/>
      </c>
      <c r="AO133" s="6" t="str">
        <f aca="false">IF($C133=AO$1,$K133,"")</f>
        <v/>
      </c>
      <c r="AP133" s="5" t="str">
        <f aca="false">IF($C133=AO$1,$F133,"")</f>
        <v/>
      </c>
      <c r="AQ133" s="5" t="n">
        <f aca="false">IF($F133="",0,IF($D133=AQ$1,$F133,0))</f>
        <v>0</v>
      </c>
      <c r="AR133" s="6" t="n">
        <f aca="false">IF($D133=AQ$1,N($K133)-N($L133)-N($O133),0)</f>
        <v>0</v>
      </c>
      <c r="AS133" s="5" t="n">
        <f aca="false">IF($F133="",0,IF($D133=AS$1,$F133,0))</f>
        <v>31.04</v>
      </c>
      <c r="AT133" s="6" t="n">
        <f aca="false">IF($D133=AS$1,N($K133)-N($L133)-N($O133),0)</f>
        <v>1401.2</v>
      </c>
      <c r="AU133" s="5" t="n">
        <f aca="false">IF(N($J133)&gt;0,N($F133),0)</f>
        <v>31.04</v>
      </c>
      <c r="AV133" s="6" t="n">
        <f aca="false">IF(N($J133)&gt;0,$F133*$J133,0)</f>
        <v>620.8</v>
      </c>
    </row>
    <row r="134" customFormat="false" ht="15" hidden="false" customHeight="false" outlineLevel="0" collapsed="false">
      <c r="A134" s="16" t="n">
        <v>46232</v>
      </c>
      <c r="B134" s="4" t="s">
        <v>232</v>
      </c>
      <c r="C134" s="4" t="s">
        <v>18</v>
      </c>
      <c r="D134" s="4" t="s">
        <v>68</v>
      </c>
      <c r="E134" s="4" t="n">
        <f aca="false">E133+1</f>
        <v>132</v>
      </c>
      <c r="F134" s="5" t="n">
        <v>32.74</v>
      </c>
      <c r="G134" s="6" t="n">
        <v>610</v>
      </c>
      <c r="H134" s="6" t="n">
        <v>870</v>
      </c>
      <c r="I134" s="6" t="n">
        <v>215</v>
      </c>
      <c r="J134" s="6" t="n">
        <v>20</v>
      </c>
      <c r="K134" s="6" t="n">
        <f aca="false">IF($F134="","",$F134*$H134)</f>
        <v>28483.8</v>
      </c>
      <c r="L134" s="6" t="n">
        <f aca="false">IFERROR(ROUND($F134*$G134,-1),"")</f>
        <v>19970</v>
      </c>
      <c r="M134" s="4" t="s">
        <v>45</v>
      </c>
      <c r="N134" s="5" t="n">
        <f aca="false">IF($F134="","",IF(N($I134)&gt;0,$F134,0))</f>
        <v>32.74</v>
      </c>
      <c r="O134" s="6" t="n">
        <f aca="false">IF($F134="","",N($N134)*N($I134))</f>
        <v>7039.1</v>
      </c>
      <c r="P134" s="6" t="str">
        <f aca="false">IF(OR($C134=P$1,$C134="Titan Rocks"),$K134,"")</f>
        <v/>
      </c>
      <c r="Q134" s="6" t="str">
        <f aca="false">IF($C134=Q$1,$K134,"")</f>
        <v/>
      </c>
      <c r="R134" s="5" t="str">
        <f aca="false">IF($C134=Q$1,$F134,"")</f>
        <v/>
      </c>
      <c r="S134" s="6" t="str">
        <f aca="false">IF($C134=S$1,$K134,"")</f>
        <v/>
      </c>
      <c r="T134" s="5" t="str">
        <f aca="false">IF($C134=S$1,$F134,"")</f>
        <v/>
      </c>
      <c r="U134" s="6" t="str">
        <f aca="false">IF($C134=U$1,$K134,"")</f>
        <v/>
      </c>
      <c r="V134" s="5" t="str">
        <f aca="false">IF($C134=U$1,$F134,"")</f>
        <v/>
      </c>
      <c r="W134" s="6" t="n">
        <f aca="false">IF($C134=W$1,$K134,"")</f>
        <v>28483.8</v>
      </c>
      <c r="X134" s="5" t="n">
        <f aca="false">IF($C134=W$1,$F134,"")</f>
        <v>32.74</v>
      </c>
      <c r="Y134" s="6" t="str">
        <f aca="false">IF($C134=Y$1,$K134,"")</f>
        <v/>
      </c>
      <c r="Z134" s="5" t="str">
        <f aca="false">IF($C134=Y$1,$F134,"")</f>
        <v/>
      </c>
      <c r="AA134" s="6" t="str">
        <f aca="false">IF($C134=AA$1,$K134,"")</f>
        <v/>
      </c>
      <c r="AB134" s="5" t="str">
        <f aca="false">IF($C134=AA$1,$F134,"")</f>
        <v/>
      </c>
      <c r="AC134" s="6" t="str">
        <f aca="false">IF($C134=AC$1,$K134,"")</f>
        <v/>
      </c>
      <c r="AD134" s="5" t="str">
        <f aca="false">IF($C134=AC$1,$F134,"")</f>
        <v/>
      </c>
      <c r="AE134" s="6" t="str">
        <f aca="false">IF($C134=AE$1,$K134,"")</f>
        <v/>
      </c>
      <c r="AF134" s="5" t="str">
        <f aca="false">IF($C134=AE$1,$F134,"")</f>
        <v/>
      </c>
      <c r="AG134" s="6" t="str">
        <f aca="false">IF($C134=AG$1,$K134,"")</f>
        <v/>
      </c>
      <c r="AH134" s="5" t="str">
        <f aca="false">IF($C134=AG$1,$F134,"")</f>
        <v/>
      </c>
      <c r="AI134" s="6" t="str">
        <f aca="false">IF($C134=AI$1,$K134,"")</f>
        <v/>
      </c>
      <c r="AJ134" s="5" t="str">
        <f aca="false">IF($C134=AI$1,$F134,"")</f>
        <v/>
      </c>
      <c r="AK134" s="6" t="str">
        <f aca="false">IF($C134=AK$1,$K134,"")</f>
        <v/>
      </c>
      <c r="AL134" s="5" t="str">
        <f aca="false">IF($C134=AK$1,$F134,"")</f>
        <v/>
      </c>
      <c r="AM134" s="6" t="str">
        <f aca="false">IF($C134=AM$1,$K134,"")</f>
        <v/>
      </c>
      <c r="AN134" s="5" t="str">
        <f aca="false">IF($C134=AM$1,$F134,"")</f>
        <v/>
      </c>
      <c r="AO134" s="6" t="str">
        <f aca="false">IF($C134=AO$1,$K134,"")</f>
        <v/>
      </c>
      <c r="AP134" s="5" t="str">
        <f aca="false">IF($C134=AO$1,$F134,"")</f>
        <v/>
      </c>
      <c r="AQ134" s="5" t="n">
        <f aca="false">IF($F134="",0,IF($D134=AQ$1,$F134,0))</f>
        <v>0</v>
      </c>
      <c r="AR134" s="6" t="n">
        <f aca="false">IF($D134=AQ$1,N($K134)-N($L134)-N($O134),0)</f>
        <v>0</v>
      </c>
      <c r="AS134" s="5" t="n">
        <f aca="false">IF($F134="",0,IF($D134=AS$1,$F134,0))</f>
        <v>32.74</v>
      </c>
      <c r="AT134" s="6" t="n">
        <f aca="false">IF($D134=AS$1,N($K134)-N($L134)-N($O134),0)</f>
        <v>1474.7</v>
      </c>
      <c r="AU134" s="5" t="n">
        <f aca="false">IF(N($J134)&gt;0,N($F134),0)</f>
        <v>32.74</v>
      </c>
      <c r="AV134" s="6" t="n">
        <f aca="false">IF(N($J134)&gt;0,$F134*$J134,0)</f>
        <v>654.8</v>
      </c>
    </row>
    <row r="135" customFormat="false" ht="15" hidden="false" customHeight="false" outlineLevel="0" collapsed="false">
      <c r="A135" s="16" t="n">
        <v>46232</v>
      </c>
      <c r="B135" s="4" t="s">
        <v>232</v>
      </c>
      <c r="C135" s="4" t="s">
        <v>19</v>
      </c>
      <c r="D135" s="4" t="s">
        <v>68</v>
      </c>
      <c r="E135" s="4" t="n">
        <f aca="false">E134+1</f>
        <v>133</v>
      </c>
      <c r="F135" s="5" t="n">
        <v>31.7</v>
      </c>
      <c r="G135" s="6" t="n">
        <v>610</v>
      </c>
      <c r="H135" s="6" t="n">
        <v>875</v>
      </c>
      <c r="I135" s="6" t="n">
        <v>210</v>
      </c>
      <c r="J135" s="6" t="n">
        <v>20</v>
      </c>
      <c r="K135" s="6" t="n">
        <f aca="false">IF($F135="","",$F135*$H135)</f>
        <v>27737.5</v>
      </c>
      <c r="L135" s="6" t="n">
        <f aca="false">IFERROR(ROUND($F135*$G135,-1),"")</f>
        <v>19340</v>
      </c>
      <c r="M135" s="4" t="s">
        <v>47</v>
      </c>
      <c r="N135" s="5" t="n">
        <f aca="false">IF($F135="","",IF(N($I135)&gt;0,$F135,0))</f>
        <v>31.7</v>
      </c>
      <c r="O135" s="6" t="n">
        <f aca="false">IF($F135="","",N($N135)*N($I135))</f>
        <v>6657</v>
      </c>
      <c r="P135" s="6" t="str">
        <f aca="false">IF(OR($C135=P$1,$C135="Titan Rocks"),$K135,"")</f>
        <v/>
      </c>
      <c r="Q135" s="6" t="str">
        <f aca="false">IF($C135=Q$1,$K135,"")</f>
        <v/>
      </c>
      <c r="R135" s="5" t="str">
        <f aca="false">IF($C135=Q$1,$F135,"")</f>
        <v/>
      </c>
      <c r="S135" s="6" t="str">
        <f aca="false">IF($C135=S$1,$K135,"")</f>
        <v/>
      </c>
      <c r="T135" s="5" t="str">
        <f aca="false">IF($C135=S$1,$F135,"")</f>
        <v/>
      </c>
      <c r="U135" s="6" t="str">
        <f aca="false">IF($C135=U$1,$K135,"")</f>
        <v/>
      </c>
      <c r="V135" s="5" t="str">
        <f aca="false">IF($C135=U$1,$F135,"")</f>
        <v/>
      </c>
      <c r="W135" s="6" t="str">
        <f aca="false">IF($C135=W$1,$K135,"")</f>
        <v/>
      </c>
      <c r="X135" s="5" t="str">
        <f aca="false">IF($C135=W$1,$F135,"")</f>
        <v/>
      </c>
      <c r="Y135" s="6" t="n">
        <f aca="false">IF($C135=Y$1,$K135,"")</f>
        <v>27737.5</v>
      </c>
      <c r="Z135" s="5" t="n">
        <f aca="false">IF($C135=Y$1,$F135,"")</f>
        <v>31.7</v>
      </c>
      <c r="AA135" s="6" t="str">
        <f aca="false">IF($C135=AA$1,$K135,"")</f>
        <v/>
      </c>
      <c r="AB135" s="5" t="str">
        <f aca="false">IF($C135=AA$1,$F135,"")</f>
        <v/>
      </c>
      <c r="AC135" s="6" t="str">
        <f aca="false">IF($C135=AC$1,$K135,"")</f>
        <v/>
      </c>
      <c r="AD135" s="5" t="str">
        <f aca="false">IF($C135=AC$1,$F135,"")</f>
        <v/>
      </c>
      <c r="AE135" s="6" t="str">
        <f aca="false">IF($C135=AE$1,$K135,"")</f>
        <v/>
      </c>
      <c r="AF135" s="5" t="str">
        <f aca="false">IF($C135=AE$1,$F135,"")</f>
        <v/>
      </c>
      <c r="AG135" s="6" t="str">
        <f aca="false">IF($C135=AG$1,$K135,"")</f>
        <v/>
      </c>
      <c r="AH135" s="5" t="str">
        <f aca="false">IF($C135=AG$1,$F135,"")</f>
        <v/>
      </c>
      <c r="AI135" s="6" t="str">
        <f aca="false">IF($C135=AI$1,$K135,"")</f>
        <v/>
      </c>
      <c r="AJ135" s="5" t="str">
        <f aca="false">IF($C135=AI$1,$F135,"")</f>
        <v/>
      </c>
      <c r="AK135" s="6" t="str">
        <f aca="false">IF($C135=AK$1,$K135,"")</f>
        <v/>
      </c>
      <c r="AL135" s="5" t="str">
        <f aca="false">IF($C135=AK$1,$F135,"")</f>
        <v/>
      </c>
      <c r="AM135" s="6" t="str">
        <f aca="false">IF($C135=AM$1,$K135,"")</f>
        <v/>
      </c>
      <c r="AN135" s="5" t="str">
        <f aca="false">IF($C135=AM$1,$F135,"")</f>
        <v/>
      </c>
      <c r="AO135" s="6" t="str">
        <f aca="false">IF($C135=AO$1,$K135,"")</f>
        <v/>
      </c>
      <c r="AP135" s="5" t="str">
        <f aca="false">IF($C135=AO$1,$F135,"")</f>
        <v/>
      </c>
      <c r="AQ135" s="5" t="n">
        <f aca="false">IF($F135="",0,IF($D135=AQ$1,$F135,0))</f>
        <v>0</v>
      </c>
      <c r="AR135" s="6" t="n">
        <f aca="false">IF($D135=AQ$1,N($K135)-N($L135)-N($O135),0)</f>
        <v>0</v>
      </c>
      <c r="AS135" s="5" t="n">
        <f aca="false">IF($F135="",0,IF($D135=AS$1,$F135,0))</f>
        <v>31.7</v>
      </c>
      <c r="AT135" s="6" t="n">
        <f aca="false">IF($D135=AS$1,N($K135)-N($L135)-N($O135),0)</f>
        <v>1740.5</v>
      </c>
      <c r="AU135" s="5" t="n">
        <f aca="false">IF(N($J135)&gt;0,N($F135),0)</f>
        <v>31.7</v>
      </c>
      <c r="AV135" s="6" t="n">
        <f aca="false">IF(N($J135)&gt;0,$F135*$J135,0)</f>
        <v>634</v>
      </c>
    </row>
    <row r="136" customFormat="false" ht="15" hidden="false" customHeight="false" outlineLevel="0" collapsed="false">
      <c r="A136" s="16" t="n">
        <v>46232</v>
      </c>
      <c r="B136" s="4" t="s">
        <v>232</v>
      </c>
      <c r="C136" s="4" t="s">
        <v>20</v>
      </c>
      <c r="D136" s="4" t="s">
        <v>68</v>
      </c>
      <c r="E136" s="4" t="n">
        <f aca="false">E135+1</f>
        <v>134</v>
      </c>
      <c r="F136" s="5" t="n">
        <v>32.95</v>
      </c>
      <c r="G136" s="6" t="n">
        <v>610</v>
      </c>
      <c r="H136" s="6" t="n">
        <v>675</v>
      </c>
      <c r="I136" s="6"/>
      <c r="J136" s="6" t="n">
        <v>20</v>
      </c>
      <c r="K136" s="6" t="n">
        <f aca="false">IF($F136="","",$F136*$H136)</f>
        <v>22241.25</v>
      </c>
      <c r="L136" s="6" t="n">
        <f aca="false">IFERROR(ROUND($F136*$G136,-1),"")</f>
        <v>20100</v>
      </c>
      <c r="M136" s="4" t="s">
        <v>48</v>
      </c>
      <c r="N136" s="5" t="n">
        <f aca="false">IF($F136="","",IF(N($I136)&gt;0,$F136,0))</f>
        <v>0</v>
      </c>
      <c r="O136" s="6" t="n">
        <f aca="false">IF($F136="","",N($N136)*N($I136))</f>
        <v>0</v>
      </c>
      <c r="P136" s="6" t="str">
        <f aca="false">IF(OR($C136=P$1,$C136="Titan Rocks"),$K136,"")</f>
        <v/>
      </c>
      <c r="Q136" s="6" t="str">
        <f aca="false">IF($C136=Q$1,$K136,"")</f>
        <v/>
      </c>
      <c r="R136" s="5" t="str">
        <f aca="false">IF($C136=Q$1,$F136,"")</f>
        <v/>
      </c>
      <c r="S136" s="6" t="str">
        <f aca="false">IF($C136=S$1,$K136,"")</f>
        <v/>
      </c>
      <c r="T136" s="5" t="str">
        <f aca="false">IF($C136=S$1,$F136,"")</f>
        <v/>
      </c>
      <c r="U136" s="6" t="str">
        <f aca="false">IF($C136=U$1,$K136,"")</f>
        <v/>
      </c>
      <c r="V136" s="5" t="str">
        <f aca="false">IF($C136=U$1,$F136,"")</f>
        <v/>
      </c>
      <c r="W136" s="6" t="str">
        <f aca="false">IF($C136=W$1,$K136,"")</f>
        <v/>
      </c>
      <c r="X136" s="5" t="str">
        <f aca="false">IF($C136=W$1,$F136,"")</f>
        <v/>
      </c>
      <c r="Y136" s="6" t="str">
        <f aca="false">IF($C136=Y$1,$K136,"")</f>
        <v/>
      </c>
      <c r="Z136" s="5" t="str">
        <f aca="false">IF($C136=Y$1,$F136,"")</f>
        <v/>
      </c>
      <c r="AA136" s="6" t="n">
        <f aca="false">IF($C136=AA$1,$K136,"")</f>
        <v>22241.25</v>
      </c>
      <c r="AB136" s="5" t="n">
        <f aca="false">IF($C136=AA$1,$F136,"")</f>
        <v>32.95</v>
      </c>
      <c r="AC136" s="6" t="str">
        <f aca="false">IF($C136=AC$1,$K136,"")</f>
        <v/>
      </c>
      <c r="AD136" s="5" t="str">
        <f aca="false">IF($C136=AC$1,$F136,"")</f>
        <v/>
      </c>
      <c r="AE136" s="6" t="str">
        <f aca="false">IF($C136=AE$1,$K136,"")</f>
        <v/>
      </c>
      <c r="AF136" s="5" t="str">
        <f aca="false">IF($C136=AE$1,$F136,"")</f>
        <v/>
      </c>
      <c r="AG136" s="6" t="str">
        <f aca="false">IF($C136=AG$1,$K136,"")</f>
        <v/>
      </c>
      <c r="AH136" s="5" t="str">
        <f aca="false">IF($C136=AG$1,$F136,"")</f>
        <v/>
      </c>
      <c r="AI136" s="6" t="str">
        <f aca="false">IF($C136=AI$1,$K136,"")</f>
        <v/>
      </c>
      <c r="AJ136" s="5" t="str">
        <f aca="false">IF($C136=AI$1,$F136,"")</f>
        <v/>
      </c>
      <c r="AK136" s="6" t="str">
        <f aca="false">IF($C136=AK$1,$K136,"")</f>
        <v/>
      </c>
      <c r="AL136" s="5" t="str">
        <f aca="false">IF($C136=AK$1,$F136,"")</f>
        <v/>
      </c>
      <c r="AM136" s="6" t="str">
        <f aca="false">IF($C136=AM$1,$K136,"")</f>
        <v/>
      </c>
      <c r="AN136" s="5" t="str">
        <f aca="false">IF($C136=AM$1,$F136,"")</f>
        <v/>
      </c>
      <c r="AO136" s="6" t="str">
        <f aca="false">IF($C136=AO$1,$K136,"")</f>
        <v/>
      </c>
      <c r="AP136" s="5" t="str">
        <f aca="false">IF($C136=AO$1,$F136,"")</f>
        <v/>
      </c>
      <c r="AQ136" s="5" t="n">
        <f aca="false">IF($F136="",0,IF($D136=AQ$1,$F136,0))</f>
        <v>0</v>
      </c>
      <c r="AR136" s="6" t="n">
        <f aca="false">IF($D136=AQ$1,N($K136)-N($L136)-N($O136),0)</f>
        <v>0</v>
      </c>
      <c r="AS136" s="5" t="n">
        <f aca="false">IF($F136="",0,IF($D136=AS$1,$F136,0))</f>
        <v>32.95</v>
      </c>
      <c r="AT136" s="6" t="n">
        <f aca="false">IF($D136=AS$1,N($K136)-N($L136)-N($O136),0)</f>
        <v>2141.25</v>
      </c>
      <c r="AU136" s="5" t="n">
        <f aca="false">IF(N($J136)&gt;0,N($F136),0)</f>
        <v>32.95</v>
      </c>
      <c r="AV136" s="6" t="n">
        <f aca="false">IF(N($J136)&gt;0,$F136*$J136,0)</f>
        <v>659</v>
      </c>
    </row>
    <row r="137" customFormat="false" ht="15" hidden="false" customHeight="false" outlineLevel="0" collapsed="false">
      <c r="A137" s="16" t="n">
        <v>46232</v>
      </c>
      <c r="B137" s="4" t="s">
        <v>232</v>
      </c>
      <c r="C137" s="4" t="s">
        <v>15</v>
      </c>
      <c r="D137" s="4" t="s">
        <v>67</v>
      </c>
      <c r="E137" s="4" t="n">
        <f aca="false">E136+1</f>
        <v>135</v>
      </c>
      <c r="F137" s="5" t="n">
        <v>21.26</v>
      </c>
      <c r="G137" s="6" t="n">
        <v>650</v>
      </c>
      <c r="H137" s="6" t="n">
        <v>675</v>
      </c>
      <c r="I137" s="6"/>
      <c r="J137" s="6"/>
      <c r="K137" s="6" t="n">
        <f aca="false">IF($F137="","",$F137*$H137)</f>
        <v>14350.5</v>
      </c>
      <c r="L137" s="6" t="n">
        <f aca="false">IFERROR(ROUND($F137*$G137,-1),"")</f>
        <v>13820</v>
      </c>
      <c r="M137" s="4" t="s">
        <v>53</v>
      </c>
      <c r="N137" s="5" t="n">
        <f aca="false">IF($F137="","",IF(N($I137)&gt;0,$F137,0))</f>
        <v>0</v>
      </c>
      <c r="O137" s="6" t="n">
        <f aca="false">IF($F137="","",N($N137)*N($I137))</f>
        <v>0</v>
      </c>
      <c r="P137" s="6" t="str">
        <f aca="false">IF(OR($C137=P$1,$C137="Titan Rocks"),$K137,"")</f>
        <v/>
      </c>
      <c r="Q137" s="6" t="n">
        <f aca="false">IF($C137=Q$1,$K137,"")</f>
        <v>14350.5</v>
      </c>
      <c r="R137" s="5" t="n">
        <f aca="false">IF($C137=Q$1,$F137,"")</f>
        <v>21.26</v>
      </c>
      <c r="S137" s="6" t="str">
        <f aca="false">IF($C137=S$1,$K137,"")</f>
        <v/>
      </c>
      <c r="T137" s="5" t="str">
        <f aca="false">IF($C137=S$1,$F137,"")</f>
        <v/>
      </c>
      <c r="U137" s="6" t="str">
        <f aca="false">IF($C137=U$1,$K137,"")</f>
        <v/>
      </c>
      <c r="V137" s="5" t="str">
        <f aca="false">IF($C137=U$1,$F137,"")</f>
        <v/>
      </c>
      <c r="W137" s="6" t="str">
        <f aca="false">IF($C137=W$1,$K137,"")</f>
        <v/>
      </c>
      <c r="X137" s="5" t="str">
        <f aca="false">IF($C137=W$1,$F137,"")</f>
        <v/>
      </c>
      <c r="Y137" s="6" t="str">
        <f aca="false">IF($C137=Y$1,$K137,"")</f>
        <v/>
      </c>
      <c r="Z137" s="5" t="str">
        <f aca="false">IF($C137=Y$1,$F137,"")</f>
        <v/>
      </c>
      <c r="AA137" s="6" t="str">
        <f aca="false">IF($C137=AA$1,$K137,"")</f>
        <v/>
      </c>
      <c r="AB137" s="5" t="str">
        <f aca="false">IF($C137=AA$1,$F137,"")</f>
        <v/>
      </c>
      <c r="AC137" s="6" t="str">
        <f aca="false">IF($C137=AC$1,$K137,"")</f>
        <v/>
      </c>
      <c r="AD137" s="5" t="str">
        <f aca="false">IF($C137=AC$1,$F137,"")</f>
        <v/>
      </c>
      <c r="AE137" s="6" t="str">
        <f aca="false">IF($C137=AE$1,$K137,"")</f>
        <v/>
      </c>
      <c r="AF137" s="5" t="str">
        <f aca="false">IF($C137=AE$1,$F137,"")</f>
        <v/>
      </c>
      <c r="AG137" s="6" t="str">
        <f aca="false">IF($C137=AG$1,$K137,"")</f>
        <v/>
      </c>
      <c r="AH137" s="5" t="str">
        <f aca="false">IF($C137=AG$1,$F137,"")</f>
        <v/>
      </c>
      <c r="AI137" s="6" t="str">
        <f aca="false">IF($C137=AI$1,$K137,"")</f>
        <v/>
      </c>
      <c r="AJ137" s="5" t="str">
        <f aca="false">IF($C137=AI$1,$F137,"")</f>
        <v/>
      </c>
      <c r="AK137" s="6" t="str">
        <f aca="false">IF($C137=AK$1,$K137,"")</f>
        <v/>
      </c>
      <c r="AL137" s="5" t="str">
        <f aca="false">IF($C137=AK$1,$F137,"")</f>
        <v/>
      </c>
      <c r="AM137" s="6" t="str">
        <f aca="false">IF($C137=AM$1,$K137,"")</f>
        <v/>
      </c>
      <c r="AN137" s="5" t="str">
        <f aca="false">IF($C137=AM$1,$F137,"")</f>
        <v/>
      </c>
      <c r="AO137" s="6" t="str">
        <f aca="false">IF($C137=AO$1,$K137,"")</f>
        <v/>
      </c>
      <c r="AP137" s="5" t="str">
        <f aca="false">IF($C137=AO$1,$F137,"")</f>
        <v/>
      </c>
      <c r="AQ137" s="5" t="n">
        <f aca="false">IF($F137="",0,IF($D137=AQ$1,$F137,0))</f>
        <v>21.26</v>
      </c>
      <c r="AR137" s="6" t="n">
        <f aca="false">IF($D137=AQ$1,N($K137)-N($L137)-N($O137),0)</f>
        <v>530.500000000002</v>
      </c>
      <c r="AS137" s="5" t="n">
        <f aca="false">IF($F137="",0,IF($D137=AS$1,$F137,0))</f>
        <v>0</v>
      </c>
      <c r="AT137" s="6" t="n">
        <f aca="false">IF($D137=AS$1,N($K137)-N($L137)-N($O137),0)</f>
        <v>0</v>
      </c>
      <c r="AU137" s="5" t="n">
        <f aca="false">IF(N($J137)&gt;0,N($F137),0)</f>
        <v>0</v>
      </c>
      <c r="AV137" s="6" t="n">
        <f aca="false">IF(N($J137)&gt;0,$F137*$J137,0)</f>
        <v>0</v>
      </c>
    </row>
    <row r="138" customFormat="false" ht="15" hidden="false" customHeight="false" outlineLevel="0" collapsed="false">
      <c r="A138" s="16" t="n">
        <v>46232</v>
      </c>
      <c r="B138" s="4" t="s">
        <v>232</v>
      </c>
      <c r="C138" s="4" t="s">
        <v>19</v>
      </c>
      <c r="D138" s="4" t="s">
        <v>68</v>
      </c>
      <c r="E138" s="4" t="n">
        <f aca="false">E137+1</f>
        <v>136</v>
      </c>
      <c r="F138" s="17" t="n">
        <v>33.88</v>
      </c>
      <c r="G138" s="6" t="n">
        <v>610</v>
      </c>
      <c r="H138" s="6" t="n">
        <v>875</v>
      </c>
      <c r="I138" s="6" t="n">
        <v>210</v>
      </c>
      <c r="J138" s="6" t="n">
        <v>20</v>
      </c>
      <c r="K138" s="6" t="n">
        <f aca="false">IF($F138="","",$F138*$H138)</f>
        <v>29645</v>
      </c>
      <c r="L138" s="6" t="n">
        <f aca="false">IFERROR(ROUND($F138*$G138,-1),"")</f>
        <v>20670</v>
      </c>
      <c r="M138" s="4" t="s">
        <v>49</v>
      </c>
      <c r="N138" s="5" t="n">
        <f aca="false">IF($F138="","",IF(N($I138)&gt;0,$F138,0))</f>
        <v>33.88</v>
      </c>
      <c r="O138" s="6" t="n">
        <f aca="false">IF($F138="","",N($N138)*N($I138))</f>
        <v>7114.8</v>
      </c>
      <c r="P138" s="6" t="str">
        <f aca="false">IF(OR($C138=P$1,$C138="Titan Rocks"),$K138,"")</f>
        <v/>
      </c>
      <c r="Q138" s="6" t="str">
        <f aca="false">IF($C138=Q$1,$K138,"")</f>
        <v/>
      </c>
      <c r="R138" s="5" t="str">
        <f aca="false">IF($C138=Q$1,$F138,"")</f>
        <v/>
      </c>
      <c r="S138" s="6" t="str">
        <f aca="false">IF($C138=S$1,$K138,"")</f>
        <v/>
      </c>
      <c r="T138" s="5" t="str">
        <f aca="false">IF($C138=S$1,$F138,"")</f>
        <v/>
      </c>
      <c r="U138" s="6" t="str">
        <f aca="false">IF($C138=U$1,$K138,"")</f>
        <v/>
      </c>
      <c r="V138" s="5" t="str">
        <f aca="false">IF($C138=U$1,$F138,"")</f>
        <v/>
      </c>
      <c r="W138" s="6" t="str">
        <f aca="false">IF($C138=W$1,$K138,"")</f>
        <v/>
      </c>
      <c r="X138" s="5" t="str">
        <f aca="false">IF($C138=W$1,$F138,"")</f>
        <v/>
      </c>
      <c r="Y138" s="6" t="n">
        <f aca="false">IF($C138=Y$1,$K138,"")</f>
        <v>29645</v>
      </c>
      <c r="Z138" s="5" t="n">
        <f aca="false">IF($C138=Y$1,$F138,"")</f>
        <v>33.88</v>
      </c>
      <c r="AA138" s="6" t="str">
        <f aca="false">IF($C138=AA$1,$K138,"")</f>
        <v/>
      </c>
      <c r="AB138" s="5" t="str">
        <f aca="false">IF($C138=AA$1,$F138,"")</f>
        <v/>
      </c>
      <c r="AC138" s="6" t="str">
        <f aca="false">IF($C138=AC$1,$K138,"")</f>
        <v/>
      </c>
      <c r="AD138" s="5" t="str">
        <f aca="false">IF($C138=AC$1,$F138,"")</f>
        <v/>
      </c>
      <c r="AE138" s="6" t="str">
        <f aca="false">IF($C138=AE$1,$K138,"")</f>
        <v/>
      </c>
      <c r="AF138" s="5" t="str">
        <f aca="false">IF($C138=AE$1,$F138,"")</f>
        <v/>
      </c>
      <c r="AG138" s="6" t="str">
        <f aca="false">IF($C138=AG$1,$K138,"")</f>
        <v/>
      </c>
      <c r="AH138" s="5" t="str">
        <f aca="false">IF($C138=AG$1,$F138,"")</f>
        <v/>
      </c>
      <c r="AI138" s="6" t="str">
        <f aca="false">IF($C138=AI$1,$K138,"")</f>
        <v/>
      </c>
      <c r="AJ138" s="5" t="str">
        <f aca="false">IF($C138=AI$1,$F138,"")</f>
        <v/>
      </c>
      <c r="AK138" s="6" t="str">
        <f aca="false">IF($C138=AK$1,$K138,"")</f>
        <v/>
      </c>
      <c r="AL138" s="5" t="str">
        <f aca="false">IF($C138=AK$1,$F138,"")</f>
        <v/>
      </c>
      <c r="AM138" s="6" t="str">
        <f aca="false">IF($C138=AM$1,$K138,"")</f>
        <v/>
      </c>
      <c r="AN138" s="5" t="str">
        <f aca="false">IF($C138=AM$1,$F138,"")</f>
        <v/>
      </c>
      <c r="AO138" s="6" t="str">
        <f aca="false">IF($C138=AO$1,$K138,"")</f>
        <v/>
      </c>
      <c r="AP138" s="5" t="str">
        <f aca="false">IF($C138=AO$1,$F138,"")</f>
        <v/>
      </c>
      <c r="AQ138" s="5" t="n">
        <f aca="false">IF($F138="",0,IF($D138=AQ$1,$F138,0))</f>
        <v>0</v>
      </c>
      <c r="AR138" s="6" t="n">
        <f aca="false">IF($D138=AQ$1,N($K138)-N($L138)-N($O138),0)</f>
        <v>0</v>
      </c>
      <c r="AS138" s="5" t="n">
        <f aca="false">IF($F138="",0,IF($D138=AS$1,$F138,0))</f>
        <v>33.88</v>
      </c>
      <c r="AT138" s="6" t="n">
        <f aca="false">IF($D138=AS$1,N($K138)-N($L138)-N($O138),0)</f>
        <v>1860.2</v>
      </c>
      <c r="AU138" s="5" t="n">
        <f aca="false">IF(N($J138)&gt;0,N($F138),0)</f>
        <v>33.88</v>
      </c>
      <c r="AV138" s="6" t="n">
        <f aca="false">IF(N($J138)&gt;0,$F138*$J138,0)</f>
        <v>677.6</v>
      </c>
    </row>
    <row r="139" customFormat="false" ht="15" hidden="false" customHeight="false" outlineLevel="0" collapsed="false">
      <c r="A139" s="16" t="n">
        <v>46232</v>
      </c>
      <c r="B139" s="4" t="s">
        <v>232</v>
      </c>
      <c r="C139" s="4" t="s">
        <v>19</v>
      </c>
      <c r="D139" s="4" t="s">
        <v>67</v>
      </c>
      <c r="E139" s="4" t="n">
        <f aca="false">E138+1</f>
        <v>137</v>
      </c>
      <c r="F139" s="5" t="n">
        <v>34.56</v>
      </c>
      <c r="G139" s="6" t="n">
        <v>650</v>
      </c>
      <c r="H139" s="6" t="n">
        <v>875</v>
      </c>
      <c r="I139" s="6" t="n">
        <v>210</v>
      </c>
      <c r="J139" s="6"/>
      <c r="K139" s="6" t="n">
        <f aca="false">IF($F139="","",$F139*$H139)</f>
        <v>30240</v>
      </c>
      <c r="L139" s="6" t="n">
        <f aca="false">IFERROR(ROUND($F139*$G139,-1),"")</f>
        <v>22460</v>
      </c>
      <c r="M139" s="4" t="s">
        <v>51</v>
      </c>
      <c r="N139" s="5" t="n">
        <f aca="false">IF($F139="","",IF(N($I139)&gt;0,$F139,0))</f>
        <v>34.56</v>
      </c>
      <c r="O139" s="6" t="n">
        <f aca="false">IF($F139="","",N($N139)*N($I139))</f>
        <v>7257.6</v>
      </c>
      <c r="P139" s="6" t="str">
        <f aca="false">IF(OR($C139=P$1,$C139="Titan Rocks"),$K139,"")</f>
        <v/>
      </c>
      <c r="Q139" s="6" t="str">
        <f aca="false">IF($C139=Q$1,$K139,"")</f>
        <v/>
      </c>
      <c r="R139" s="5" t="str">
        <f aca="false">IF($C139=Q$1,$F139,"")</f>
        <v/>
      </c>
      <c r="S139" s="6" t="str">
        <f aca="false">IF($C139=S$1,$K139,"")</f>
        <v/>
      </c>
      <c r="T139" s="5" t="str">
        <f aca="false">IF($C139=S$1,$F139,"")</f>
        <v/>
      </c>
      <c r="U139" s="6" t="str">
        <f aca="false">IF($C139=U$1,$K139,"")</f>
        <v/>
      </c>
      <c r="V139" s="5" t="str">
        <f aca="false">IF($C139=U$1,$F139,"")</f>
        <v/>
      </c>
      <c r="W139" s="6" t="str">
        <f aca="false">IF($C139=W$1,$K139,"")</f>
        <v/>
      </c>
      <c r="X139" s="5" t="str">
        <f aca="false">IF($C139=W$1,$F139,"")</f>
        <v/>
      </c>
      <c r="Y139" s="6" t="n">
        <f aca="false">IF($C139=Y$1,$K139,"")</f>
        <v>30240</v>
      </c>
      <c r="Z139" s="5" t="n">
        <f aca="false">IF($C139=Y$1,$F139,"")</f>
        <v>34.56</v>
      </c>
      <c r="AA139" s="6" t="str">
        <f aca="false">IF($C139=AA$1,$K139,"")</f>
        <v/>
      </c>
      <c r="AB139" s="5" t="str">
        <f aca="false">IF($C139=AA$1,$F139,"")</f>
        <v/>
      </c>
      <c r="AC139" s="6" t="str">
        <f aca="false">IF($C139=AC$1,$K139,"")</f>
        <v/>
      </c>
      <c r="AD139" s="5" t="str">
        <f aca="false">IF($C139=AC$1,$F139,"")</f>
        <v/>
      </c>
      <c r="AE139" s="6" t="str">
        <f aca="false">IF($C139=AE$1,$K139,"")</f>
        <v/>
      </c>
      <c r="AF139" s="5" t="str">
        <f aca="false">IF($C139=AE$1,$F139,"")</f>
        <v/>
      </c>
      <c r="AG139" s="6" t="str">
        <f aca="false">IF($C139=AG$1,$K139,"")</f>
        <v/>
      </c>
      <c r="AH139" s="5" t="str">
        <f aca="false">IF($C139=AG$1,$F139,"")</f>
        <v/>
      </c>
      <c r="AI139" s="6" t="str">
        <f aca="false">IF($C139=AI$1,$K139,"")</f>
        <v/>
      </c>
      <c r="AJ139" s="5" t="str">
        <f aca="false">IF($C139=AI$1,$F139,"")</f>
        <v/>
      </c>
      <c r="AK139" s="6" t="str">
        <f aca="false">IF($C139=AK$1,$K139,"")</f>
        <v/>
      </c>
      <c r="AL139" s="5" t="str">
        <f aca="false">IF($C139=AK$1,$F139,"")</f>
        <v/>
      </c>
      <c r="AM139" s="6" t="str">
        <f aca="false">IF($C139=AM$1,$K139,"")</f>
        <v/>
      </c>
      <c r="AN139" s="5" t="str">
        <f aca="false">IF($C139=AM$1,$F139,"")</f>
        <v/>
      </c>
      <c r="AO139" s="6" t="str">
        <f aca="false">IF($C139=AO$1,$K139,"")</f>
        <v/>
      </c>
      <c r="AP139" s="5" t="str">
        <f aca="false">IF($C139=AO$1,$F139,"")</f>
        <v/>
      </c>
      <c r="AQ139" s="5" t="n">
        <f aca="false">IF($F139="",0,IF($D139=AQ$1,$F139,0))</f>
        <v>34.56</v>
      </c>
      <c r="AR139" s="6" t="n">
        <f aca="false">IF($D139=AQ$1,N($K139)-N($L139)-N($O139),0)</f>
        <v>522.400000000003</v>
      </c>
      <c r="AS139" s="5" t="n">
        <f aca="false">IF($F139="",0,IF($D139=AS$1,$F139,0))</f>
        <v>0</v>
      </c>
      <c r="AT139" s="6" t="n">
        <f aca="false">IF($D139=AS$1,N($K139)-N($L139)-N($O139),0)</f>
        <v>0</v>
      </c>
      <c r="AU139" s="5" t="n">
        <f aca="false">IF(N($J139)&gt;0,N($F139),0)</f>
        <v>0</v>
      </c>
      <c r="AV139" s="6" t="n">
        <f aca="false">IF(N($J139)&gt;0,$F139*$J139,0)</f>
        <v>0</v>
      </c>
    </row>
    <row r="140" customFormat="false" ht="15" hidden="false" customHeight="false" outlineLevel="0" collapsed="false">
      <c r="A140" s="16" t="n">
        <v>46232</v>
      </c>
      <c r="B140" s="4" t="s">
        <v>232</v>
      </c>
      <c r="C140" s="4" t="s">
        <v>16</v>
      </c>
      <c r="D140" s="4" t="s">
        <v>67</v>
      </c>
      <c r="E140" s="4" t="n">
        <f aca="false">E139+1</f>
        <v>138</v>
      </c>
      <c r="F140" s="5" t="n">
        <v>30.67</v>
      </c>
      <c r="G140" s="6" t="n">
        <v>650</v>
      </c>
      <c r="H140" s="6" t="n">
        <v>900</v>
      </c>
      <c r="I140" s="6" t="n">
        <v>220</v>
      </c>
      <c r="J140" s="6"/>
      <c r="K140" s="6" t="n">
        <f aca="false">IF($F140="","",$F140*$H140)</f>
        <v>27603</v>
      </c>
      <c r="L140" s="6" t="n">
        <f aca="false">IFERROR(ROUND($F140*$G140,-1),"")</f>
        <v>19940</v>
      </c>
      <c r="M140" s="4" t="s">
        <v>38</v>
      </c>
      <c r="N140" s="5" t="n">
        <f aca="false">IF($F140="","",IF(N($I140)&gt;0,$F140,0))</f>
        <v>30.67</v>
      </c>
      <c r="O140" s="6" t="n">
        <f aca="false">IF($F140="","",N($N140)*N($I140))</f>
        <v>6747.4</v>
      </c>
      <c r="P140" s="6" t="str">
        <f aca="false">IF(OR($C140=P$1,$C140="Titan Rocks"),$K140,"")</f>
        <v/>
      </c>
      <c r="Q140" s="6" t="str">
        <f aca="false">IF($C140=Q$1,$K140,"")</f>
        <v/>
      </c>
      <c r="R140" s="5" t="str">
        <f aca="false">IF($C140=Q$1,$F140,"")</f>
        <v/>
      </c>
      <c r="S140" s="6" t="n">
        <f aca="false">IF($C140=S$1,$K140,"")</f>
        <v>27603</v>
      </c>
      <c r="T140" s="5" t="n">
        <f aca="false">IF($C140=S$1,$F140,"")</f>
        <v>30.67</v>
      </c>
      <c r="U140" s="6" t="str">
        <f aca="false">IF($C140=U$1,$K140,"")</f>
        <v/>
      </c>
      <c r="V140" s="5" t="str">
        <f aca="false">IF($C140=U$1,$F140,"")</f>
        <v/>
      </c>
      <c r="W140" s="6" t="str">
        <f aca="false">IF($C140=W$1,$K140,"")</f>
        <v/>
      </c>
      <c r="X140" s="5" t="str">
        <f aca="false">IF($C140=W$1,$F140,"")</f>
        <v/>
      </c>
      <c r="Y140" s="6" t="str">
        <f aca="false">IF($C140=Y$1,$K140,"")</f>
        <v/>
      </c>
      <c r="Z140" s="5" t="str">
        <f aca="false">IF($C140=Y$1,$F140,"")</f>
        <v/>
      </c>
      <c r="AA140" s="6" t="str">
        <f aca="false">IF($C140=AA$1,$K140,"")</f>
        <v/>
      </c>
      <c r="AB140" s="5" t="str">
        <f aca="false">IF($C140=AA$1,$F140,"")</f>
        <v/>
      </c>
      <c r="AC140" s="6" t="str">
        <f aca="false">IF($C140=AC$1,$K140,"")</f>
        <v/>
      </c>
      <c r="AD140" s="5" t="str">
        <f aca="false">IF($C140=AC$1,$F140,"")</f>
        <v/>
      </c>
      <c r="AE140" s="6" t="str">
        <f aca="false">IF($C140=AE$1,$K140,"")</f>
        <v/>
      </c>
      <c r="AF140" s="5" t="str">
        <f aca="false">IF($C140=AE$1,$F140,"")</f>
        <v/>
      </c>
      <c r="AG140" s="6" t="str">
        <f aca="false">IF($C140=AG$1,$K140,"")</f>
        <v/>
      </c>
      <c r="AH140" s="5" t="str">
        <f aca="false">IF($C140=AG$1,$F140,"")</f>
        <v/>
      </c>
      <c r="AI140" s="6" t="str">
        <f aca="false">IF($C140=AI$1,$K140,"")</f>
        <v/>
      </c>
      <c r="AJ140" s="5" t="str">
        <f aca="false">IF($C140=AI$1,$F140,"")</f>
        <v/>
      </c>
      <c r="AK140" s="6" t="str">
        <f aca="false">IF($C140=AK$1,$K140,"")</f>
        <v/>
      </c>
      <c r="AL140" s="5" t="str">
        <f aca="false">IF($C140=AK$1,$F140,"")</f>
        <v/>
      </c>
      <c r="AM140" s="6" t="str">
        <f aca="false">IF($C140=AM$1,$K140,"")</f>
        <v/>
      </c>
      <c r="AN140" s="5" t="str">
        <f aca="false">IF($C140=AM$1,$F140,"")</f>
        <v/>
      </c>
      <c r="AO140" s="6" t="str">
        <f aca="false">IF($C140=AO$1,$K140,"")</f>
        <v/>
      </c>
      <c r="AP140" s="5" t="str">
        <f aca="false">IF($C140=AO$1,$F140,"")</f>
        <v/>
      </c>
      <c r="AQ140" s="5" t="n">
        <f aca="false">IF($F140="",0,IF($D140=AQ$1,$F140,0))</f>
        <v>30.67</v>
      </c>
      <c r="AR140" s="6" t="n">
        <f aca="false">IF($D140=AQ$1,N($K140)-N($L140)-N($O140),0)</f>
        <v>915.6</v>
      </c>
      <c r="AS140" s="5" t="n">
        <f aca="false">IF($F140="",0,IF($D140=AS$1,$F140,0))</f>
        <v>0</v>
      </c>
      <c r="AT140" s="6" t="n">
        <f aca="false">IF($D140=AS$1,N($K140)-N($L140)-N($O140),0)</f>
        <v>0</v>
      </c>
      <c r="AU140" s="5" t="n">
        <f aca="false">IF(N($J140)&gt;0,N($F140),0)</f>
        <v>0</v>
      </c>
      <c r="AV140" s="6" t="n">
        <f aca="false">IF(N($J140)&gt;0,$F140*$J140,0)</f>
        <v>0</v>
      </c>
    </row>
    <row r="141" customFormat="false" ht="15" hidden="false" customHeight="false" outlineLevel="0" collapsed="false">
      <c r="A141" s="16" t="n">
        <v>46232</v>
      </c>
      <c r="B141" s="4" t="s">
        <v>232</v>
      </c>
      <c r="C141" s="4" t="s">
        <v>15</v>
      </c>
      <c r="D141" s="4" t="s">
        <v>67</v>
      </c>
      <c r="E141" s="4" t="n">
        <f aca="false">E140+1</f>
        <v>139</v>
      </c>
      <c r="F141" s="5" t="n">
        <v>32</v>
      </c>
      <c r="G141" s="6" t="n">
        <v>650</v>
      </c>
      <c r="H141" s="6" t="n">
        <v>675</v>
      </c>
      <c r="I141" s="6"/>
      <c r="J141" s="6"/>
      <c r="K141" s="6" t="n">
        <f aca="false">IF($F141="","",$F141*$H141)</f>
        <v>21600</v>
      </c>
      <c r="L141" s="6" t="n">
        <f aca="false">IFERROR(ROUND($F141*$G141,-1),"")</f>
        <v>20800</v>
      </c>
      <c r="M141" s="4" t="s">
        <v>50</v>
      </c>
      <c r="N141" s="5" t="n">
        <f aca="false">IF($F141="","",IF(N($I141)&gt;0,$F141,0))</f>
        <v>0</v>
      </c>
      <c r="O141" s="6" t="n">
        <f aca="false">IF($F141="","",N($N141)*N($I141))</f>
        <v>0</v>
      </c>
      <c r="P141" s="6" t="str">
        <f aca="false">IF(OR($C141=P$1,$C141="Titan Rocks"),$K141,"")</f>
        <v/>
      </c>
      <c r="Q141" s="6" t="n">
        <f aca="false">IF($C141=Q$1,$K141,"")</f>
        <v>21600</v>
      </c>
      <c r="R141" s="5" t="n">
        <f aca="false">IF($C141=Q$1,$F141,"")</f>
        <v>32</v>
      </c>
      <c r="S141" s="6" t="str">
        <f aca="false">IF($C141=S$1,$K141,"")</f>
        <v/>
      </c>
      <c r="T141" s="5" t="str">
        <f aca="false">IF($C141=S$1,$F141,"")</f>
        <v/>
      </c>
      <c r="U141" s="6" t="str">
        <f aca="false">IF($C141=U$1,$K141,"")</f>
        <v/>
      </c>
      <c r="V141" s="5" t="str">
        <f aca="false">IF($C141=U$1,$F141,"")</f>
        <v/>
      </c>
      <c r="W141" s="6" t="str">
        <f aca="false">IF($C141=W$1,$K141,"")</f>
        <v/>
      </c>
      <c r="X141" s="5" t="str">
        <f aca="false">IF($C141=W$1,$F141,"")</f>
        <v/>
      </c>
      <c r="Y141" s="6" t="str">
        <f aca="false">IF($C141=Y$1,$K141,"")</f>
        <v/>
      </c>
      <c r="Z141" s="5" t="str">
        <f aca="false">IF($C141=Y$1,$F141,"")</f>
        <v/>
      </c>
      <c r="AA141" s="6" t="str">
        <f aca="false">IF($C141=AA$1,$K141,"")</f>
        <v/>
      </c>
      <c r="AB141" s="5" t="str">
        <f aca="false">IF($C141=AA$1,$F141,"")</f>
        <v/>
      </c>
      <c r="AC141" s="6" t="str">
        <f aca="false">IF($C141=AC$1,$K141,"")</f>
        <v/>
      </c>
      <c r="AD141" s="5" t="str">
        <f aca="false">IF($C141=AC$1,$F141,"")</f>
        <v/>
      </c>
      <c r="AE141" s="6" t="str">
        <f aca="false">IF($C141=AE$1,$K141,"")</f>
        <v/>
      </c>
      <c r="AF141" s="5" t="str">
        <f aca="false">IF($C141=AE$1,$F141,"")</f>
        <v/>
      </c>
      <c r="AG141" s="6" t="str">
        <f aca="false">IF($C141=AG$1,$K141,"")</f>
        <v/>
      </c>
      <c r="AH141" s="5" t="str">
        <f aca="false">IF($C141=AG$1,$F141,"")</f>
        <v/>
      </c>
      <c r="AI141" s="6" t="str">
        <f aca="false">IF($C141=AI$1,$K141,"")</f>
        <v/>
      </c>
      <c r="AJ141" s="5" t="str">
        <f aca="false">IF($C141=AI$1,$F141,"")</f>
        <v/>
      </c>
      <c r="AK141" s="6" t="str">
        <f aca="false">IF($C141=AK$1,$K141,"")</f>
        <v/>
      </c>
      <c r="AL141" s="5" t="str">
        <f aca="false">IF($C141=AK$1,$F141,"")</f>
        <v/>
      </c>
      <c r="AM141" s="6" t="str">
        <f aca="false">IF($C141=AM$1,$K141,"")</f>
        <v/>
      </c>
      <c r="AN141" s="5" t="str">
        <f aca="false">IF($C141=AM$1,$F141,"")</f>
        <v/>
      </c>
      <c r="AO141" s="6" t="str">
        <f aca="false">IF($C141=AO$1,$K141,"")</f>
        <v/>
      </c>
      <c r="AP141" s="5" t="str">
        <f aca="false">IF($C141=AO$1,$F141,"")</f>
        <v/>
      </c>
      <c r="AQ141" s="5" t="n">
        <f aca="false">IF($F141="",0,IF($D141=AQ$1,$F141,0))</f>
        <v>32</v>
      </c>
      <c r="AR141" s="6" t="n">
        <f aca="false">IF($D141=AQ$1,N($K141)-N($L141)-N($O141),0)</f>
        <v>800</v>
      </c>
      <c r="AS141" s="5" t="n">
        <f aca="false">IF($F141="",0,IF($D141=AS$1,$F141,0))</f>
        <v>0</v>
      </c>
      <c r="AT141" s="6" t="n">
        <f aca="false">IF($D141=AS$1,N($K141)-N($L141)-N($O141),0)</f>
        <v>0</v>
      </c>
      <c r="AU141" s="5" t="n">
        <f aca="false">IF(N($J141)&gt;0,N($F141),0)</f>
        <v>0</v>
      </c>
      <c r="AV141" s="6" t="n">
        <f aca="false">IF(N($J141)&gt;0,$F141*$J141,0)</f>
        <v>0</v>
      </c>
    </row>
    <row r="142" customFormat="false" ht="15" hidden="false" customHeight="false" outlineLevel="0" collapsed="false">
      <c r="A142" s="16" t="n">
        <v>46232</v>
      </c>
      <c r="B142" s="4" t="s">
        <v>232</v>
      </c>
      <c r="C142" s="4" t="s">
        <v>16</v>
      </c>
      <c r="D142" s="4" t="s">
        <v>67</v>
      </c>
      <c r="E142" s="4" t="n">
        <f aca="false">E141+1</f>
        <v>140</v>
      </c>
      <c r="F142" s="5" t="n">
        <v>30.35</v>
      </c>
      <c r="G142" s="6" t="n">
        <v>650</v>
      </c>
      <c r="H142" s="6" t="n">
        <v>900</v>
      </c>
      <c r="I142" s="6" t="n">
        <v>220</v>
      </c>
      <c r="J142" s="6"/>
      <c r="K142" s="6" t="n">
        <f aca="false">IF($F142="","",$F142*$H142)</f>
        <v>27315</v>
      </c>
      <c r="L142" s="6" t="n">
        <f aca="false">IFERROR(ROUND($F142*$G142,-1),"")</f>
        <v>19730</v>
      </c>
      <c r="M142" s="4" t="s">
        <v>54</v>
      </c>
      <c r="N142" s="5" t="n">
        <f aca="false">IF($F142="","",IF(N($I142)&gt;0,$F142,0))</f>
        <v>30.35</v>
      </c>
      <c r="O142" s="6" t="n">
        <f aca="false">IF($F142="","",N($N142)*N($I142))</f>
        <v>6677</v>
      </c>
      <c r="P142" s="6" t="str">
        <f aca="false">IF(OR($C142=P$1,$C142="Titan Rocks"),$K142,"")</f>
        <v/>
      </c>
      <c r="Q142" s="6" t="str">
        <f aca="false">IF($C142=Q$1,$K142,"")</f>
        <v/>
      </c>
      <c r="R142" s="5" t="str">
        <f aca="false">IF($C142=Q$1,$F142,"")</f>
        <v/>
      </c>
      <c r="S142" s="6" t="n">
        <f aca="false">IF($C142=S$1,$K142,"")</f>
        <v>27315</v>
      </c>
      <c r="T142" s="5" t="n">
        <f aca="false">IF($C142=S$1,$F142,"")</f>
        <v>30.35</v>
      </c>
      <c r="U142" s="6" t="str">
        <f aca="false">IF($C142=U$1,$K142,"")</f>
        <v/>
      </c>
      <c r="V142" s="5" t="str">
        <f aca="false">IF($C142=U$1,$F142,"")</f>
        <v/>
      </c>
      <c r="W142" s="6" t="str">
        <f aca="false">IF($C142=W$1,$K142,"")</f>
        <v/>
      </c>
      <c r="X142" s="5" t="str">
        <f aca="false">IF($C142=W$1,$F142,"")</f>
        <v/>
      </c>
      <c r="Y142" s="6" t="str">
        <f aca="false">IF($C142=Y$1,$K142,"")</f>
        <v/>
      </c>
      <c r="Z142" s="5" t="str">
        <f aca="false">IF($C142=Y$1,$F142,"")</f>
        <v/>
      </c>
      <c r="AA142" s="6" t="str">
        <f aca="false">IF($C142=AA$1,$K142,"")</f>
        <v/>
      </c>
      <c r="AB142" s="5" t="str">
        <f aca="false">IF($C142=AA$1,$F142,"")</f>
        <v/>
      </c>
      <c r="AC142" s="6" t="str">
        <f aca="false">IF($C142=AC$1,$K142,"")</f>
        <v/>
      </c>
      <c r="AD142" s="5" t="str">
        <f aca="false">IF($C142=AC$1,$F142,"")</f>
        <v/>
      </c>
      <c r="AE142" s="6" t="str">
        <f aca="false">IF($C142=AE$1,$K142,"")</f>
        <v/>
      </c>
      <c r="AF142" s="5" t="str">
        <f aca="false">IF($C142=AE$1,$F142,"")</f>
        <v/>
      </c>
      <c r="AG142" s="6" t="str">
        <f aca="false">IF($C142=AG$1,$K142,"")</f>
        <v/>
      </c>
      <c r="AH142" s="5" t="str">
        <f aca="false">IF($C142=AG$1,$F142,"")</f>
        <v/>
      </c>
      <c r="AI142" s="6" t="str">
        <f aca="false">IF($C142=AI$1,$K142,"")</f>
        <v/>
      </c>
      <c r="AJ142" s="5" t="str">
        <f aca="false">IF($C142=AI$1,$F142,"")</f>
        <v/>
      </c>
      <c r="AK142" s="6" t="str">
        <f aca="false">IF($C142=AK$1,$K142,"")</f>
        <v/>
      </c>
      <c r="AL142" s="5" t="str">
        <f aca="false">IF($C142=AK$1,$F142,"")</f>
        <v/>
      </c>
      <c r="AM142" s="6" t="str">
        <f aca="false">IF($C142=AM$1,$K142,"")</f>
        <v/>
      </c>
      <c r="AN142" s="5" t="str">
        <f aca="false">IF($C142=AM$1,$F142,"")</f>
        <v/>
      </c>
      <c r="AO142" s="6" t="str">
        <f aca="false">IF($C142=AO$1,$K142,"")</f>
        <v/>
      </c>
      <c r="AP142" s="5" t="str">
        <f aca="false">IF($C142=AO$1,$F142,"")</f>
        <v/>
      </c>
      <c r="AQ142" s="5" t="n">
        <f aca="false">IF($F142="",0,IF($D142=AQ$1,$F142,0))</f>
        <v>30.35</v>
      </c>
      <c r="AR142" s="6" t="n">
        <f aca="false">IF($D142=AQ$1,N($K142)-N($L142)-N($O142),0)</f>
        <v>908</v>
      </c>
      <c r="AS142" s="5" t="n">
        <f aca="false">IF($F142="",0,IF($D142=AS$1,$F142,0))</f>
        <v>0</v>
      </c>
      <c r="AT142" s="6" t="n">
        <f aca="false">IF($D142=AS$1,N($K142)-N($L142)-N($O142),0)</f>
        <v>0</v>
      </c>
      <c r="AU142" s="5" t="n">
        <f aca="false">IF(N($J142)&gt;0,N($F142),0)</f>
        <v>0</v>
      </c>
      <c r="AV142" s="6" t="n">
        <f aca="false">IF(N($J142)&gt;0,$F142*$J142,0)</f>
        <v>0</v>
      </c>
    </row>
    <row r="143" customFormat="false" ht="15" hidden="false" customHeight="false" outlineLevel="0" collapsed="false">
      <c r="A143" s="16" t="n">
        <v>46232</v>
      </c>
      <c r="B143" s="4" t="s">
        <v>232</v>
      </c>
      <c r="C143" s="4" t="s">
        <v>15</v>
      </c>
      <c r="D143" s="4" t="s">
        <v>67</v>
      </c>
      <c r="E143" s="4" t="n">
        <f aca="false">E142+1</f>
        <v>141</v>
      </c>
      <c r="F143" s="5" t="n">
        <v>21.24</v>
      </c>
      <c r="G143" s="6" t="n">
        <v>650</v>
      </c>
      <c r="H143" s="6" t="n">
        <v>675</v>
      </c>
      <c r="I143" s="6"/>
      <c r="J143" s="6"/>
      <c r="K143" s="6" t="n">
        <f aca="false">IF($F143="","",$F143*$H143)</f>
        <v>14337</v>
      </c>
      <c r="L143" s="6" t="n">
        <f aca="false">IFERROR(ROUND($F143*$G143,-1),"")</f>
        <v>13810</v>
      </c>
      <c r="M143" s="4" t="s">
        <v>55</v>
      </c>
      <c r="N143" s="5" t="n">
        <f aca="false">IF($F143="","",IF(N($I143)&gt;0,$F143,0))</f>
        <v>0</v>
      </c>
      <c r="O143" s="6" t="n">
        <f aca="false">IF($F143="","",N($N143)*N($I143))</f>
        <v>0</v>
      </c>
      <c r="P143" s="6" t="str">
        <f aca="false">IF(OR($C143=P$1,$C143="Titan Rocks"),$K143,"")</f>
        <v/>
      </c>
      <c r="Q143" s="6" t="n">
        <f aca="false">IF($C143=Q$1,$K143,"")</f>
        <v>14337</v>
      </c>
      <c r="R143" s="5" t="n">
        <f aca="false">IF($C143=Q$1,$F143,"")</f>
        <v>21.24</v>
      </c>
      <c r="S143" s="6" t="str">
        <f aca="false">IF($C143=S$1,$K143,"")</f>
        <v/>
      </c>
      <c r="T143" s="5" t="str">
        <f aca="false">IF($C143=S$1,$F143,"")</f>
        <v/>
      </c>
      <c r="U143" s="6" t="str">
        <f aca="false">IF($C143=U$1,$K143,"")</f>
        <v/>
      </c>
      <c r="V143" s="5" t="str">
        <f aca="false">IF($C143=U$1,$F143,"")</f>
        <v/>
      </c>
      <c r="W143" s="6" t="str">
        <f aca="false">IF($C143=W$1,$K143,"")</f>
        <v/>
      </c>
      <c r="X143" s="5" t="str">
        <f aca="false">IF($C143=W$1,$F143,"")</f>
        <v/>
      </c>
      <c r="Y143" s="6" t="str">
        <f aca="false">IF($C143=Y$1,$K143,"")</f>
        <v/>
      </c>
      <c r="Z143" s="5" t="str">
        <f aca="false">IF($C143=Y$1,$F143,"")</f>
        <v/>
      </c>
      <c r="AA143" s="6" t="str">
        <f aca="false">IF($C143=AA$1,$K143,"")</f>
        <v/>
      </c>
      <c r="AB143" s="5" t="str">
        <f aca="false">IF($C143=AA$1,$F143,"")</f>
        <v/>
      </c>
      <c r="AC143" s="6" t="str">
        <f aca="false">IF($C143=AC$1,$K143,"")</f>
        <v/>
      </c>
      <c r="AD143" s="5" t="str">
        <f aca="false">IF($C143=AC$1,$F143,"")</f>
        <v/>
      </c>
      <c r="AE143" s="6" t="str">
        <f aca="false">IF($C143=AE$1,$K143,"")</f>
        <v/>
      </c>
      <c r="AF143" s="5" t="str">
        <f aca="false">IF($C143=AE$1,$F143,"")</f>
        <v/>
      </c>
      <c r="AG143" s="6" t="str">
        <f aca="false">IF($C143=AG$1,$K143,"")</f>
        <v/>
      </c>
      <c r="AH143" s="5" t="str">
        <f aca="false">IF($C143=AG$1,$F143,"")</f>
        <v/>
      </c>
      <c r="AI143" s="6" t="str">
        <f aca="false">IF($C143=AI$1,$K143,"")</f>
        <v/>
      </c>
      <c r="AJ143" s="5" t="str">
        <f aca="false">IF($C143=AI$1,$F143,"")</f>
        <v/>
      </c>
      <c r="AK143" s="6" t="str">
        <f aca="false">IF($C143=AK$1,$K143,"")</f>
        <v/>
      </c>
      <c r="AL143" s="5" t="str">
        <f aca="false">IF($C143=AK$1,$F143,"")</f>
        <v/>
      </c>
      <c r="AM143" s="6" t="str">
        <f aca="false">IF($C143=AM$1,$K143,"")</f>
        <v/>
      </c>
      <c r="AN143" s="5" t="str">
        <f aca="false">IF($C143=AM$1,$F143,"")</f>
        <v/>
      </c>
      <c r="AO143" s="6" t="str">
        <f aca="false">IF($C143=AO$1,$K143,"")</f>
        <v/>
      </c>
      <c r="AP143" s="5" t="str">
        <f aca="false">IF($C143=AO$1,$F143,"")</f>
        <v/>
      </c>
      <c r="AQ143" s="5" t="n">
        <f aca="false">IF($F143="",0,IF($D143=AQ$1,$F143,0))</f>
        <v>21.24</v>
      </c>
      <c r="AR143" s="6" t="n">
        <f aca="false">IF($D143=AQ$1,N($K143)-N($L143)-N($O143),0)</f>
        <v>526.999999999998</v>
      </c>
      <c r="AS143" s="5" t="n">
        <f aca="false">IF($F143="",0,IF($D143=AS$1,$F143,0))</f>
        <v>0</v>
      </c>
      <c r="AT143" s="6" t="n">
        <f aca="false">IF($D143=AS$1,N($K143)-N($L143)-N($O143),0)</f>
        <v>0</v>
      </c>
      <c r="AU143" s="5" t="n">
        <f aca="false">IF(N($J143)&gt;0,N($F143),0)</f>
        <v>0</v>
      </c>
      <c r="AV143" s="6" t="n">
        <f aca="false">IF(N($J143)&gt;0,$F143*$J143,0)</f>
        <v>0</v>
      </c>
    </row>
    <row r="144" customFormat="false" ht="15" hidden="false" customHeight="false" outlineLevel="0" collapsed="false">
      <c r="A144" s="16" t="n">
        <v>46232</v>
      </c>
      <c r="B144" s="4" t="s">
        <v>232</v>
      </c>
      <c r="C144" s="4" t="s">
        <v>16</v>
      </c>
      <c r="D144" s="4" t="s">
        <v>67</v>
      </c>
      <c r="E144" s="4" t="n">
        <f aca="false">E143+1</f>
        <v>142</v>
      </c>
      <c r="F144" s="5" t="n">
        <v>34.11</v>
      </c>
      <c r="G144" s="6" t="n">
        <v>650</v>
      </c>
      <c r="H144" s="6" t="n">
        <v>900</v>
      </c>
      <c r="I144" s="6" t="n">
        <v>225</v>
      </c>
      <c r="J144" s="6"/>
      <c r="K144" s="6" t="n">
        <f aca="false">IF($F144="","",$F144*$H144)</f>
        <v>30699</v>
      </c>
      <c r="L144" s="6" t="n">
        <f aca="false">IFERROR(ROUND($F144*$G144,-1),"")</f>
        <v>22170</v>
      </c>
      <c r="M144" s="4" t="s">
        <v>40</v>
      </c>
      <c r="N144" s="5" t="n">
        <f aca="false">IF($F144="","",IF(N($I144)&gt;0,$F144,0))</f>
        <v>34.11</v>
      </c>
      <c r="O144" s="6" t="n">
        <f aca="false">IF($F144="","",N($N144)*N($I144))</f>
        <v>7674.75</v>
      </c>
      <c r="P144" s="6" t="str">
        <f aca="false">IF(OR($C144=P$1,$C144="Titan Rocks"),$K144,"")</f>
        <v/>
      </c>
      <c r="Q144" s="6" t="str">
        <f aca="false">IF($C144=Q$1,$K144,"")</f>
        <v/>
      </c>
      <c r="R144" s="5" t="str">
        <f aca="false">IF($C144=Q$1,$F144,"")</f>
        <v/>
      </c>
      <c r="S144" s="6" t="n">
        <f aca="false">IF($C144=S$1,$K144,"")</f>
        <v>30699</v>
      </c>
      <c r="T144" s="5" t="n">
        <f aca="false">IF($C144=S$1,$F144,"")</f>
        <v>34.11</v>
      </c>
      <c r="U144" s="6" t="str">
        <f aca="false">IF($C144=U$1,$K144,"")</f>
        <v/>
      </c>
      <c r="V144" s="5" t="str">
        <f aca="false">IF($C144=U$1,$F144,"")</f>
        <v/>
      </c>
      <c r="W144" s="6" t="str">
        <f aca="false">IF($C144=W$1,$K144,"")</f>
        <v/>
      </c>
      <c r="X144" s="5" t="str">
        <f aca="false">IF($C144=W$1,$F144,"")</f>
        <v/>
      </c>
      <c r="Y144" s="6" t="str">
        <f aca="false">IF($C144=Y$1,$K144,"")</f>
        <v/>
      </c>
      <c r="Z144" s="5" t="str">
        <f aca="false">IF($C144=Y$1,$F144,"")</f>
        <v/>
      </c>
      <c r="AA144" s="6" t="str">
        <f aca="false">IF($C144=AA$1,$K144,"")</f>
        <v/>
      </c>
      <c r="AB144" s="5" t="str">
        <f aca="false">IF($C144=AA$1,$F144,"")</f>
        <v/>
      </c>
      <c r="AC144" s="6" t="str">
        <f aca="false">IF($C144=AC$1,$K144,"")</f>
        <v/>
      </c>
      <c r="AD144" s="5" t="str">
        <f aca="false">IF($C144=AC$1,$F144,"")</f>
        <v/>
      </c>
      <c r="AE144" s="6" t="str">
        <f aca="false">IF($C144=AE$1,$K144,"")</f>
        <v/>
      </c>
      <c r="AF144" s="5" t="str">
        <f aca="false">IF($C144=AE$1,$F144,"")</f>
        <v/>
      </c>
      <c r="AG144" s="6" t="str">
        <f aca="false">IF($C144=AG$1,$K144,"")</f>
        <v/>
      </c>
      <c r="AH144" s="5" t="str">
        <f aca="false">IF($C144=AG$1,$F144,"")</f>
        <v/>
      </c>
      <c r="AI144" s="6" t="str">
        <f aca="false">IF($C144=AI$1,$K144,"")</f>
        <v/>
      </c>
      <c r="AJ144" s="5" t="str">
        <f aca="false">IF($C144=AI$1,$F144,"")</f>
        <v/>
      </c>
      <c r="AK144" s="6" t="str">
        <f aca="false">IF($C144=AK$1,$K144,"")</f>
        <v/>
      </c>
      <c r="AL144" s="5" t="str">
        <f aca="false">IF($C144=AK$1,$F144,"")</f>
        <v/>
      </c>
      <c r="AM144" s="6" t="str">
        <f aca="false">IF($C144=AM$1,$K144,"")</f>
        <v/>
      </c>
      <c r="AN144" s="5" t="str">
        <f aca="false">IF($C144=AM$1,$F144,"")</f>
        <v/>
      </c>
      <c r="AO144" s="6" t="str">
        <f aca="false">IF($C144=AO$1,$K144,"")</f>
        <v/>
      </c>
      <c r="AP144" s="5" t="str">
        <f aca="false">IF($C144=AO$1,$F144,"")</f>
        <v/>
      </c>
      <c r="AQ144" s="5" t="n">
        <f aca="false">IF($F144="",0,IF($D144=AQ$1,$F144,0))</f>
        <v>34.11</v>
      </c>
      <c r="AR144" s="6" t="n">
        <f aca="false">IF($D144=AQ$1,N($K144)-N($L144)-N($O144),0)</f>
        <v>854.25</v>
      </c>
      <c r="AS144" s="5" t="n">
        <f aca="false">IF($F144="",0,IF($D144=AS$1,$F144,0))</f>
        <v>0</v>
      </c>
      <c r="AT144" s="6" t="n">
        <f aca="false">IF($D144=AS$1,N($K144)-N($L144)-N($O144),0)</f>
        <v>0</v>
      </c>
      <c r="AU144" s="5" t="n">
        <f aca="false">IF(N($J144)&gt;0,N($F144),0)</f>
        <v>0</v>
      </c>
      <c r="AV144" s="6" t="n">
        <f aca="false">IF(N($J144)&gt;0,$F144*$J144,0)</f>
        <v>0</v>
      </c>
    </row>
    <row r="145" customFormat="false" ht="15" hidden="false" customHeight="false" outlineLevel="0" collapsed="false">
      <c r="A145" s="16" t="n">
        <v>46232</v>
      </c>
      <c r="B145" s="4" t="s">
        <v>232</v>
      </c>
      <c r="C145" s="4" t="s">
        <v>15</v>
      </c>
      <c r="D145" s="4" t="s">
        <v>67</v>
      </c>
      <c r="E145" s="4" t="n">
        <f aca="false">E144+1</f>
        <v>143</v>
      </c>
      <c r="F145" s="5" t="n">
        <v>20.34</v>
      </c>
      <c r="G145" s="6" t="n">
        <v>650</v>
      </c>
      <c r="H145" s="6" t="n">
        <v>675</v>
      </c>
      <c r="I145" s="6"/>
      <c r="J145" s="6"/>
      <c r="K145" s="6" t="n">
        <f aca="false">IF($F145="","",$F145*$H145)</f>
        <v>13729.5</v>
      </c>
      <c r="L145" s="6" t="n">
        <f aca="false">IFERROR(ROUND($F145*$G145,-1),"")</f>
        <v>13220</v>
      </c>
      <c r="M145" s="4" t="s">
        <v>56</v>
      </c>
      <c r="N145" s="5" t="n">
        <f aca="false">IF($F145="","",IF(N($I145)&gt;0,$F145,0))</f>
        <v>0</v>
      </c>
      <c r="O145" s="6" t="n">
        <f aca="false">IF($F145="","",N($N145)*N($I145))</f>
        <v>0</v>
      </c>
      <c r="P145" s="6" t="str">
        <f aca="false">IF(OR($C145=P$1,$C145="Titan Rocks"),$K145,"")</f>
        <v/>
      </c>
      <c r="Q145" s="6" t="n">
        <f aca="false">IF($C145=Q$1,$K145,"")</f>
        <v>13729.5</v>
      </c>
      <c r="R145" s="5" t="n">
        <f aca="false">IF($C145=Q$1,$F145,"")</f>
        <v>20.34</v>
      </c>
      <c r="S145" s="6" t="str">
        <f aca="false">IF($C145=S$1,$K145,"")</f>
        <v/>
      </c>
      <c r="T145" s="5" t="str">
        <f aca="false">IF($C145=S$1,$F145,"")</f>
        <v/>
      </c>
      <c r="U145" s="6" t="str">
        <f aca="false">IF($C145=U$1,$K145,"")</f>
        <v/>
      </c>
      <c r="V145" s="5" t="str">
        <f aca="false">IF($C145=U$1,$F145,"")</f>
        <v/>
      </c>
      <c r="W145" s="6" t="str">
        <f aca="false">IF($C145=W$1,$K145,"")</f>
        <v/>
      </c>
      <c r="X145" s="5" t="str">
        <f aca="false">IF($C145=W$1,$F145,"")</f>
        <v/>
      </c>
      <c r="Y145" s="6" t="str">
        <f aca="false">IF($C145=Y$1,$K145,"")</f>
        <v/>
      </c>
      <c r="Z145" s="5" t="str">
        <f aca="false">IF($C145=Y$1,$F145,"")</f>
        <v/>
      </c>
      <c r="AA145" s="6" t="str">
        <f aca="false">IF($C145=AA$1,$K145,"")</f>
        <v/>
      </c>
      <c r="AB145" s="5" t="str">
        <f aca="false">IF($C145=AA$1,$F145,"")</f>
        <v/>
      </c>
      <c r="AC145" s="6" t="str">
        <f aca="false">IF($C145=AC$1,$K145,"")</f>
        <v/>
      </c>
      <c r="AD145" s="5" t="str">
        <f aca="false">IF($C145=AC$1,$F145,"")</f>
        <v/>
      </c>
      <c r="AE145" s="6" t="str">
        <f aca="false">IF($C145=AE$1,$K145,"")</f>
        <v/>
      </c>
      <c r="AF145" s="5" t="str">
        <f aca="false">IF($C145=AE$1,$F145,"")</f>
        <v/>
      </c>
      <c r="AG145" s="6" t="str">
        <f aca="false">IF($C145=AG$1,$K145,"")</f>
        <v/>
      </c>
      <c r="AH145" s="5" t="str">
        <f aca="false">IF($C145=AG$1,$F145,"")</f>
        <v/>
      </c>
      <c r="AI145" s="6" t="str">
        <f aca="false">IF($C145=AI$1,$K145,"")</f>
        <v/>
      </c>
      <c r="AJ145" s="5" t="str">
        <f aca="false">IF($C145=AI$1,$F145,"")</f>
        <v/>
      </c>
      <c r="AK145" s="6" t="str">
        <f aca="false">IF($C145=AK$1,$K145,"")</f>
        <v/>
      </c>
      <c r="AL145" s="5" t="str">
        <f aca="false">IF($C145=AK$1,$F145,"")</f>
        <v/>
      </c>
      <c r="AM145" s="6" t="str">
        <f aca="false">IF($C145=AM$1,$K145,"")</f>
        <v/>
      </c>
      <c r="AN145" s="5" t="str">
        <f aca="false">IF($C145=AM$1,$F145,"")</f>
        <v/>
      </c>
      <c r="AO145" s="6" t="str">
        <f aca="false">IF($C145=AO$1,$K145,"")</f>
        <v/>
      </c>
      <c r="AP145" s="5" t="str">
        <f aca="false">IF($C145=AO$1,$F145,"")</f>
        <v/>
      </c>
      <c r="AQ145" s="5" t="n">
        <f aca="false">IF($F145="",0,IF($D145=AQ$1,$F145,0))</f>
        <v>20.34</v>
      </c>
      <c r="AR145" s="6" t="n">
        <f aca="false">IF($D145=AQ$1,N($K145)-N($L145)-N($O145),0)</f>
        <v>509.5</v>
      </c>
      <c r="AS145" s="5" t="n">
        <f aca="false">IF($F145="",0,IF($D145=AS$1,$F145,0))</f>
        <v>0</v>
      </c>
      <c r="AT145" s="6" t="n">
        <f aca="false">IF($D145=AS$1,N($K145)-N($L145)-N($O145),0)</f>
        <v>0</v>
      </c>
      <c r="AU145" s="5" t="n">
        <f aca="false">IF(N($J145)&gt;0,N($F145),0)</f>
        <v>0</v>
      </c>
      <c r="AV145" s="6" t="n">
        <f aca="false">IF(N($J145)&gt;0,$F145*$J145,0)</f>
        <v>0</v>
      </c>
    </row>
    <row r="146" customFormat="false" ht="15" hidden="false" customHeight="false" outlineLevel="0" collapsed="false">
      <c r="A146" s="16"/>
      <c r="B146" s="4"/>
      <c r="C146" s="4"/>
      <c r="D146" s="4"/>
      <c r="E146" s="4" t="n">
        <f aca="false">E145+1</f>
        <v>144</v>
      </c>
      <c r="F146" s="5"/>
      <c r="G146" s="6"/>
      <c r="H146" s="6"/>
      <c r="I146" s="6"/>
      <c r="J146" s="6"/>
      <c r="K146" s="6" t="str">
        <f aca="false">IF($F146="","",$F146*$H146)</f>
        <v/>
      </c>
      <c r="L146" s="6" t="n">
        <f aca="false">IFERROR(ROUND($F146*$G146,-1),"")</f>
        <v>0</v>
      </c>
      <c r="M146" s="4"/>
      <c r="N146" s="5" t="str">
        <f aca="false">IF($F146="","",IF(N($I146)&gt;0,$F146,0))</f>
        <v/>
      </c>
      <c r="O146" s="6" t="str">
        <f aca="false">IF($F146="","",N($N146)*N($I146))</f>
        <v/>
      </c>
      <c r="P146" s="6" t="str">
        <f aca="false">IF(OR($C146=P$1,$C146="Titan Rocks"),$K146,"")</f>
        <v/>
      </c>
      <c r="Q146" s="6" t="str">
        <f aca="false">IF($C146=Q$1,$K146,"")</f>
        <v/>
      </c>
      <c r="R146" s="5" t="str">
        <f aca="false">IF($C146=Q$1,$F146,"")</f>
        <v/>
      </c>
      <c r="S146" s="6" t="str">
        <f aca="false">IF($C146=S$1,$K146,"")</f>
        <v/>
      </c>
      <c r="T146" s="5" t="str">
        <f aca="false">IF($C146=S$1,$F146,"")</f>
        <v/>
      </c>
      <c r="U146" s="6" t="str">
        <f aca="false">IF($C146=U$1,$K146,"")</f>
        <v/>
      </c>
      <c r="V146" s="5" t="str">
        <f aca="false">IF($C146=U$1,$F146,"")</f>
        <v/>
      </c>
      <c r="W146" s="6" t="str">
        <f aca="false">IF($C146=W$1,$K146,"")</f>
        <v/>
      </c>
      <c r="X146" s="5" t="str">
        <f aca="false">IF($C146=W$1,$F146,"")</f>
        <v/>
      </c>
      <c r="Y146" s="6" t="str">
        <f aca="false">IF($C146=Y$1,$K146,"")</f>
        <v/>
      </c>
      <c r="Z146" s="5" t="str">
        <f aca="false">IF($C146=Y$1,$F146,"")</f>
        <v/>
      </c>
      <c r="AA146" s="6" t="str">
        <f aca="false">IF($C146=AA$1,$K146,"")</f>
        <v/>
      </c>
      <c r="AB146" s="5" t="str">
        <f aca="false">IF($C146=AA$1,$F146,"")</f>
        <v/>
      </c>
      <c r="AC146" s="6" t="str">
        <f aca="false">IF($C146=AC$1,$K146,"")</f>
        <v/>
      </c>
      <c r="AD146" s="5" t="str">
        <f aca="false">IF($C146=AC$1,$F146,"")</f>
        <v/>
      </c>
      <c r="AE146" s="6" t="str">
        <f aca="false">IF($C146=AE$1,$K146,"")</f>
        <v/>
      </c>
      <c r="AF146" s="5" t="str">
        <f aca="false">IF($C146=AE$1,$F146,"")</f>
        <v/>
      </c>
      <c r="AG146" s="6" t="str">
        <f aca="false">IF($C146=AG$1,$K146,"")</f>
        <v/>
      </c>
      <c r="AH146" s="5" t="str">
        <f aca="false">IF($C146=AG$1,$F146,"")</f>
        <v/>
      </c>
      <c r="AI146" s="6" t="str">
        <f aca="false">IF($C146=AI$1,$K146,"")</f>
        <v/>
      </c>
      <c r="AJ146" s="5" t="str">
        <f aca="false">IF($C146=AI$1,$F146,"")</f>
        <v/>
      </c>
      <c r="AK146" s="6" t="str">
        <f aca="false">IF($C146=AK$1,$K146,"")</f>
        <v/>
      </c>
      <c r="AL146" s="5" t="str">
        <f aca="false">IF($C146=AK$1,$F146,"")</f>
        <v/>
      </c>
      <c r="AM146" s="6" t="str">
        <f aca="false">IF($C146=AM$1,$K146,"")</f>
        <v/>
      </c>
      <c r="AN146" s="5" t="str">
        <f aca="false">IF($C146=AM$1,$F146,"")</f>
        <v/>
      </c>
      <c r="AO146" s="6" t="str">
        <f aca="false">IF($C146=AO$1,$K146,"")</f>
        <v/>
      </c>
      <c r="AP146" s="5" t="str">
        <f aca="false">IF($C146=AO$1,$F146,"")</f>
        <v/>
      </c>
      <c r="AQ146" s="5" t="n">
        <f aca="false">IF($F146="",0,IF($D146=AQ$1,$F146,0))</f>
        <v>0</v>
      </c>
      <c r="AR146" s="6" t="n">
        <f aca="false">IF($D146=AQ$1,N($K146)-N($L146)-N($O146),0)</f>
        <v>0</v>
      </c>
      <c r="AS146" s="5" t="n">
        <f aca="false">IF($F146="",0,IF($D146=AS$1,$F146,0))</f>
        <v>0</v>
      </c>
      <c r="AT146" s="6" t="n">
        <f aca="false">IF($D146=AS$1,N($K146)-N($L146)-N($O146),0)</f>
        <v>0</v>
      </c>
      <c r="AU146" s="5" t="n">
        <f aca="false">IF(N($J146)&gt;0,N($F146),0)</f>
        <v>0</v>
      </c>
      <c r="AV146" s="6" t="n">
        <f aca="false">IF(N($J146)&gt;0,$F146*$J146,0)</f>
        <v>0</v>
      </c>
    </row>
    <row r="147" customFormat="false" ht="15" hidden="false" customHeight="false" outlineLevel="0" collapsed="false">
      <c r="A147" s="16"/>
      <c r="B147" s="4"/>
      <c r="C147" s="4"/>
      <c r="D147" s="4"/>
      <c r="E147" s="4" t="n">
        <f aca="false">E146+1</f>
        <v>145</v>
      </c>
      <c r="F147" s="5"/>
      <c r="G147" s="6"/>
      <c r="H147" s="6"/>
      <c r="I147" s="6"/>
      <c r="J147" s="6"/>
      <c r="K147" s="6" t="str">
        <f aca="false">IF($F147="","",$F147*$H147)</f>
        <v/>
      </c>
      <c r="L147" s="6" t="n">
        <f aca="false">IFERROR(ROUND($F147*$G147,-1),"")</f>
        <v>0</v>
      </c>
      <c r="M147" s="4"/>
      <c r="N147" s="5" t="str">
        <f aca="false">IF($F147="","",IF(N($I147)&gt;0,$F147,0))</f>
        <v/>
      </c>
      <c r="O147" s="6" t="str">
        <f aca="false">IF($F147="","",N($N147)*N($I147))</f>
        <v/>
      </c>
      <c r="P147" s="6" t="str">
        <f aca="false">IF(OR($C147=P$1,$C147="Titan Rocks"),$K147,"")</f>
        <v/>
      </c>
      <c r="Q147" s="6" t="str">
        <f aca="false">IF($C147=Q$1,$K147,"")</f>
        <v/>
      </c>
      <c r="R147" s="5" t="str">
        <f aca="false">IF($C147=Q$1,$F147,"")</f>
        <v/>
      </c>
      <c r="S147" s="6" t="str">
        <f aca="false">IF($C147=S$1,$K147,"")</f>
        <v/>
      </c>
      <c r="T147" s="5" t="str">
        <f aca="false">IF($C147=S$1,$F147,"")</f>
        <v/>
      </c>
      <c r="U147" s="6" t="str">
        <f aca="false">IF($C147=U$1,$K147,"")</f>
        <v/>
      </c>
      <c r="V147" s="5" t="str">
        <f aca="false">IF($C147=U$1,$F147,"")</f>
        <v/>
      </c>
      <c r="W147" s="6" t="str">
        <f aca="false">IF($C147=W$1,$K147,"")</f>
        <v/>
      </c>
      <c r="X147" s="5" t="str">
        <f aca="false">IF($C147=W$1,$F147,"")</f>
        <v/>
      </c>
      <c r="Y147" s="6" t="str">
        <f aca="false">IF($C147=Y$1,$K147,"")</f>
        <v/>
      </c>
      <c r="Z147" s="5" t="str">
        <f aca="false">IF($C147=Y$1,$F147,"")</f>
        <v/>
      </c>
      <c r="AA147" s="6" t="str">
        <f aca="false">IF($C147=AA$1,$K147,"")</f>
        <v/>
      </c>
      <c r="AB147" s="5" t="str">
        <f aca="false">IF($C147=AA$1,$F147,"")</f>
        <v/>
      </c>
      <c r="AC147" s="6" t="str">
        <f aca="false">IF($C147=AC$1,$K147,"")</f>
        <v/>
      </c>
      <c r="AD147" s="5" t="str">
        <f aca="false">IF($C147=AC$1,$F147,"")</f>
        <v/>
      </c>
      <c r="AE147" s="6" t="str">
        <f aca="false">IF($C147=AE$1,$K147,"")</f>
        <v/>
      </c>
      <c r="AF147" s="5" t="str">
        <f aca="false">IF($C147=AE$1,$F147,"")</f>
        <v/>
      </c>
      <c r="AG147" s="6" t="str">
        <f aca="false">IF($C147=AG$1,$K147,"")</f>
        <v/>
      </c>
      <c r="AH147" s="5" t="str">
        <f aca="false">IF($C147=AG$1,$F147,"")</f>
        <v/>
      </c>
      <c r="AI147" s="6" t="str">
        <f aca="false">IF($C147=AI$1,$K147,"")</f>
        <v/>
      </c>
      <c r="AJ147" s="5" t="str">
        <f aca="false">IF($C147=AI$1,$F147,"")</f>
        <v/>
      </c>
      <c r="AK147" s="6" t="str">
        <f aca="false">IF($C147=AK$1,$K147,"")</f>
        <v/>
      </c>
      <c r="AL147" s="5" t="str">
        <f aca="false">IF($C147=AK$1,$F147,"")</f>
        <v/>
      </c>
      <c r="AM147" s="6" t="str">
        <f aca="false">IF($C147=AM$1,$K147,"")</f>
        <v/>
      </c>
      <c r="AN147" s="5" t="str">
        <f aca="false">IF($C147=AM$1,$F147,"")</f>
        <v/>
      </c>
      <c r="AO147" s="6" t="str">
        <f aca="false">IF($C147=AO$1,$K147,"")</f>
        <v/>
      </c>
      <c r="AP147" s="5" t="str">
        <f aca="false">IF($C147=AO$1,$F147,"")</f>
        <v/>
      </c>
      <c r="AQ147" s="5" t="n">
        <f aca="false">IF($F147="",0,IF($D147=AQ$1,$F147,0))</f>
        <v>0</v>
      </c>
      <c r="AR147" s="6" t="n">
        <f aca="false">IF($D147=AQ$1,N($K147)-N($L147)-N($O147),0)</f>
        <v>0</v>
      </c>
      <c r="AS147" s="5" t="n">
        <f aca="false">IF($F147="",0,IF($D147=AS$1,$F147,0))</f>
        <v>0</v>
      </c>
      <c r="AT147" s="6" t="n">
        <f aca="false">IF($D147=AS$1,N($K147)-N($L147)-N($O147),0)</f>
        <v>0</v>
      </c>
      <c r="AU147" s="5" t="n">
        <f aca="false">IF(N($J147)&gt;0,N($F147),0)</f>
        <v>0</v>
      </c>
      <c r="AV147" s="6" t="n">
        <f aca="false">IF(N($J147)&gt;0,$F147*$J147,0)</f>
        <v>0</v>
      </c>
    </row>
    <row r="148" customFormat="false" ht="15" hidden="false" customHeight="false" outlineLevel="0" collapsed="false">
      <c r="A148" s="16"/>
      <c r="B148" s="4"/>
      <c r="C148" s="4"/>
      <c r="D148" s="4"/>
      <c r="E148" s="4" t="n">
        <f aca="false">E147+1</f>
        <v>146</v>
      </c>
      <c r="F148" s="5"/>
      <c r="G148" s="6"/>
      <c r="H148" s="6"/>
      <c r="I148" s="6"/>
      <c r="J148" s="6"/>
      <c r="K148" s="6" t="str">
        <f aca="false">IF($F148="","",$F148*$H148)</f>
        <v/>
      </c>
      <c r="L148" s="6" t="n">
        <f aca="false">IFERROR(ROUND($F148*$G148,-1),"")</f>
        <v>0</v>
      </c>
      <c r="M148" s="4"/>
      <c r="N148" s="5" t="str">
        <f aca="false">IF($F148="","",IF(N($I148)&gt;0,$F148,0))</f>
        <v/>
      </c>
      <c r="O148" s="6" t="str">
        <f aca="false">IF($F148="","",N($N148)*N($I148))</f>
        <v/>
      </c>
      <c r="P148" s="6" t="str">
        <f aca="false">IF(OR($C148=P$1,$C148="Titan Rocks"),$K148,"")</f>
        <v/>
      </c>
      <c r="Q148" s="6" t="str">
        <f aca="false">IF($C148=Q$1,$K148,"")</f>
        <v/>
      </c>
      <c r="R148" s="5" t="str">
        <f aca="false">IF($C148=Q$1,$F148,"")</f>
        <v/>
      </c>
      <c r="S148" s="6" t="str">
        <f aca="false">IF($C148=S$1,$K148,"")</f>
        <v/>
      </c>
      <c r="T148" s="5" t="str">
        <f aca="false">IF($C148=S$1,$F148,"")</f>
        <v/>
      </c>
      <c r="U148" s="6" t="str">
        <f aca="false">IF($C148=U$1,$K148,"")</f>
        <v/>
      </c>
      <c r="V148" s="5" t="str">
        <f aca="false">IF($C148=U$1,$F148,"")</f>
        <v/>
      </c>
      <c r="W148" s="6" t="str">
        <f aca="false">IF($C148=W$1,$K148,"")</f>
        <v/>
      </c>
      <c r="X148" s="5" t="str">
        <f aca="false">IF($C148=W$1,$F148,"")</f>
        <v/>
      </c>
      <c r="Y148" s="6" t="str">
        <f aca="false">IF($C148=Y$1,$K148,"")</f>
        <v/>
      </c>
      <c r="Z148" s="5" t="str">
        <f aca="false">IF($C148=Y$1,$F148,"")</f>
        <v/>
      </c>
      <c r="AA148" s="6" t="str">
        <f aca="false">IF($C148=AA$1,$K148,"")</f>
        <v/>
      </c>
      <c r="AB148" s="5" t="str">
        <f aca="false">IF($C148=AA$1,$F148,"")</f>
        <v/>
      </c>
      <c r="AC148" s="6" t="str">
        <f aca="false">IF($C148=AC$1,$K148,"")</f>
        <v/>
      </c>
      <c r="AD148" s="5" t="str">
        <f aca="false">IF($C148=AC$1,$F148,"")</f>
        <v/>
      </c>
      <c r="AE148" s="6" t="str">
        <f aca="false">IF($C148=AE$1,$K148,"")</f>
        <v/>
      </c>
      <c r="AF148" s="5" t="str">
        <f aca="false">IF($C148=AE$1,$F148,"")</f>
        <v/>
      </c>
      <c r="AG148" s="6" t="str">
        <f aca="false">IF($C148=AG$1,$K148,"")</f>
        <v/>
      </c>
      <c r="AH148" s="5" t="str">
        <f aca="false">IF($C148=AG$1,$F148,"")</f>
        <v/>
      </c>
      <c r="AI148" s="6" t="str">
        <f aca="false">IF($C148=AI$1,$K148,"")</f>
        <v/>
      </c>
      <c r="AJ148" s="5" t="str">
        <f aca="false">IF($C148=AI$1,$F148,"")</f>
        <v/>
      </c>
      <c r="AK148" s="6" t="str">
        <f aca="false">IF($C148=AK$1,$K148,"")</f>
        <v/>
      </c>
      <c r="AL148" s="5" t="str">
        <f aca="false">IF($C148=AK$1,$F148,"")</f>
        <v/>
      </c>
      <c r="AM148" s="6" t="str">
        <f aca="false">IF($C148=AM$1,$K148,"")</f>
        <v/>
      </c>
      <c r="AN148" s="5" t="str">
        <f aca="false">IF($C148=AM$1,$F148,"")</f>
        <v/>
      </c>
      <c r="AO148" s="6" t="str">
        <f aca="false">IF($C148=AO$1,$K148,"")</f>
        <v/>
      </c>
      <c r="AP148" s="5" t="str">
        <f aca="false">IF($C148=AO$1,$F148,"")</f>
        <v/>
      </c>
      <c r="AQ148" s="5" t="n">
        <f aca="false">IF($F148="",0,IF($D148=AQ$1,$F148,0))</f>
        <v>0</v>
      </c>
      <c r="AR148" s="6" t="n">
        <f aca="false">IF($D148=AQ$1,N($K148)-N($L148)-N($O148),0)</f>
        <v>0</v>
      </c>
      <c r="AS148" s="5" t="n">
        <f aca="false">IF($F148="",0,IF($D148=AS$1,$F148,0))</f>
        <v>0</v>
      </c>
      <c r="AT148" s="6" t="n">
        <f aca="false">IF($D148=AS$1,N($K148)-N($L148)-N($O148),0)</f>
        <v>0</v>
      </c>
      <c r="AU148" s="5" t="n">
        <f aca="false">IF(N($J148)&gt;0,N($F148),0)</f>
        <v>0</v>
      </c>
      <c r="AV148" s="6" t="n">
        <f aca="false">IF(N($J148)&gt;0,$F148*$J148,0)</f>
        <v>0</v>
      </c>
    </row>
    <row r="149" customFormat="false" ht="15" hidden="false" customHeight="false" outlineLevel="0" collapsed="false">
      <c r="A149" s="16"/>
      <c r="B149" s="4"/>
      <c r="C149" s="4"/>
      <c r="D149" s="4"/>
      <c r="E149" s="4" t="n">
        <f aca="false">E148+1</f>
        <v>147</v>
      </c>
      <c r="F149" s="5"/>
      <c r="G149" s="6"/>
      <c r="H149" s="6"/>
      <c r="I149" s="6"/>
      <c r="J149" s="6"/>
      <c r="K149" s="6" t="str">
        <f aca="false">IF($F149="","",$F149*$H149)</f>
        <v/>
      </c>
      <c r="L149" s="6" t="n">
        <f aca="false">IFERROR(ROUND($F149*$G149,-1),"")</f>
        <v>0</v>
      </c>
      <c r="M149" s="4"/>
      <c r="N149" s="5" t="str">
        <f aca="false">IF($F149="","",IF(N($I149)&gt;0,$F149,0))</f>
        <v/>
      </c>
      <c r="O149" s="6" t="str">
        <f aca="false">IF($F149="","",N($N149)*N($I149))</f>
        <v/>
      </c>
      <c r="P149" s="6" t="str">
        <f aca="false">IF(OR($C149=P$1,$C149="Titan Rocks"),$K149,"")</f>
        <v/>
      </c>
      <c r="Q149" s="6" t="str">
        <f aca="false">IF($C149=Q$1,$K149,"")</f>
        <v/>
      </c>
      <c r="R149" s="5" t="str">
        <f aca="false">IF($C149=Q$1,$F149,"")</f>
        <v/>
      </c>
      <c r="S149" s="6" t="str">
        <f aca="false">IF($C149=S$1,$K149,"")</f>
        <v/>
      </c>
      <c r="T149" s="5" t="str">
        <f aca="false">IF($C149=S$1,$F149,"")</f>
        <v/>
      </c>
      <c r="U149" s="6" t="str">
        <f aca="false">IF($C149=U$1,$K149,"")</f>
        <v/>
      </c>
      <c r="V149" s="5" t="str">
        <f aca="false">IF($C149=U$1,$F149,"")</f>
        <v/>
      </c>
      <c r="W149" s="6" t="str">
        <f aca="false">IF($C149=W$1,$K149,"")</f>
        <v/>
      </c>
      <c r="X149" s="5" t="str">
        <f aca="false">IF($C149=W$1,$F149,"")</f>
        <v/>
      </c>
      <c r="Y149" s="6" t="str">
        <f aca="false">IF($C149=Y$1,$K149,"")</f>
        <v/>
      </c>
      <c r="Z149" s="5" t="str">
        <f aca="false">IF($C149=Y$1,$F149,"")</f>
        <v/>
      </c>
      <c r="AA149" s="6" t="str">
        <f aca="false">IF($C149=AA$1,$K149,"")</f>
        <v/>
      </c>
      <c r="AB149" s="5" t="str">
        <f aca="false">IF($C149=AA$1,$F149,"")</f>
        <v/>
      </c>
      <c r="AC149" s="6" t="str">
        <f aca="false">IF($C149=AC$1,$K149,"")</f>
        <v/>
      </c>
      <c r="AD149" s="5" t="str">
        <f aca="false">IF($C149=AC$1,$F149,"")</f>
        <v/>
      </c>
      <c r="AE149" s="6" t="str">
        <f aca="false">IF($C149=AE$1,$K149,"")</f>
        <v/>
      </c>
      <c r="AF149" s="5" t="str">
        <f aca="false">IF($C149=AE$1,$F149,"")</f>
        <v/>
      </c>
      <c r="AG149" s="6" t="str">
        <f aca="false">IF($C149=AG$1,$K149,"")</f>
        <v/>
      </c>
      <c r="AH149" s="5" t="str">
        <f aca="false">IF($C149=AG$1,$F149,"")</f>
        <v/>
      </c>
      <c r="AI149" s="6" t="str">
        <f aca="false">IF($C149=AI$1,$K149,"")</f>
        <v/>
      </c>
      <c r="AJ149" s="5" t="str">
        <f aca="false">IF($C149=AI$1,$F149,"")</f>
        <v/>
      </c>
      <c r="AK149" s="6" t="str">
        <f aca="false">IF($C149=AK$1,$K149,"")</f>
        <v/>
      </c>
      <c r="AL149" s="5" t="str">
        <f aca="false">IF($C149=AK$1,$F149,"")</f>
        <v/>
      </c>
      <c r="AM149" s="6" t="str">
        <f aca="false">IF($C149=AM$1,$K149,"")</f>
        <v/>
      </c>
      <c r="AN149" s="5" t="str">
        <f aca="false">IF($C149=AM$1,$F149,"")</f>
        <v/>
      </c>
      <c r="AO149" s="6" t="str">
        <f aca="false">IF($C149=AO$1,$K149,"")</f>
        <v/>
      </c>
      <c r="AP149" s="5" t="str">
        <f aca="false">IF($C149=AO$1,$F149,"")</f>
        <v/>
      </c>
      <c r="AQ149" s="5" t="n">
        <f aca="false">IF($F149="",0,IF($D149=AQ$1,$F149,0))</f>
        <v>0</v>
      </c>
      <c r="AR149" s="6" t="n">
        <f aca="false">IF($D149=AQ$1,N($K149)-N($L149)-N($O149),0)</f>
        <v>0</v>
      </c>
      <c r="AS149" s="5" t="n">
        <f aca="false">IF($F149="",0,IF($D149=AS$1,$F149,0))</f>
        <v>0</v>
      </c>
      <c r="AT149" s="6" t="n">
        <f aca="false">IF($D149=AS$1,N($K149)-N($L149)-N($O149),0)</f>
        <v>0</v>
      </c>
      <c r="AU149" s="5" t="n">
        <f aca="false">IF(N($J149)&gt;0,N($F149),0)</f>
        <v>0</v>
      </c>
      <c r="AV149" s="6" t="n">
        <f aca="false">IF(N($J149)&gt;0,$F149*$J149,0)</f>
        <v>0</v>
      </c>
    </row>
    <row r="150" customFormat="false" ht="15" hidden="false" customHeight="false" outlineLevel="0" collapsed="false">
      <c r="A150" s="16"/>
      <c r="B150" s="4"/>
      <c r="C150" s="4"/>
      <c r="D150" s="4"/>
      <c r="E150" s="4" t="n">
        <f aca="false">E149+1</f>
        <v>148</v>
      </c>
      <c r="F150" s="5"/>
      <c r="G150" s="6"/>
      <c r="H150" s="6"/>
      <c r="I150" s="6"/>
      <c r="J150" s="6"/>
      <c r="K150" s="6" t="str">
        <f aca="false">IF($F150="","",$F150*$H150)</f>
        <v/>
      </c>
      <c r="L150" s="6" t="n">
        <f aca="false">IFERROR(ROUND($F150*$G150,-1),"")</f>
        <v>0</v>
      </c>
      <c r="M150" s="4"/>
      <c r="N150" s="5" t="str">
        <f aca="false">IF($F150="","",IF(N($I150)&gt;0,$F150,0))</f>
        <v/>
      </c>
      <c r="O150" s="6" t="str">
        <f aca="false">IF($F150="","",N($N150)*N($I150))</f>
        <v/>
      </c>
      <c r="P150" s="6" t="str">
        <f aca="false">IF(OR($C150=P$1,$C150="Titan Rocks"),$K150,"")</f>
        <v/>
      </c>
      <c r="Q150" s="6" t="str">
        <f aca="false">IF($C150=Q$1,$K150,"")</f>
        <v/>
      </c>
      <c r="R150" s="5" t="str">
        <f aca="false">IF($C150=Q$1,$F150,"")</f>
        <v/>
      </c>
      <c r="S150" s="6" t="str">
        <f aca="false">IF($C150=S$1,$K150,"")</f>
        <v/>
      </c>
      <c r="T150" s="5" t="str">
        <f aca="false">IF($C150=S$1,$F150,"")</f>
        <v/>
      </c>
      <c r="U150" s="6" t="str">
        <f aca="false">IF($C150=U$1,$K150,"")</f>
        <v/>
      </c>
      <c r="V150" s="5" t="str">
        <f aca="false">IF($C150=U$1,$F150,"")</f>
        <v/>
      </c>
      <c r="W150" s="6" t="str">
        <f aca="false">IF($C150=W$1,$K150,"")</f>
        <v/>
      </c>
      <c r="X150" s="5" t="str">
        <f aca="false">IF($C150=W$1,$F150,"")</f>
        <v/>
      </c>
      <c r="Y150" s="6" t="str">
        <f aca="false">IF($C150=Y$1,$K150,"")</f>
        <v/>
      </c>
      <c r="Z150" s="5" t="str">
        <f aca="false">IF($C150=Y$1,$F150,"")</f>
        <v/>
      </c>
      <c r="AA150" s="6" t="str">
        <f aca="false">IF($C150=AA$1,$K150,"")</f>
        <v/>
      </c>
      <c r="AB150" s="5" t="str">
        <f aca="false">IF($C150=AA$1,$F150,"")</f>
        <v/>
      </c>
      <c r="AC150" s="6" t="str">
        <f aca="false">IF($C150=AC$1,$K150,"")</f>
        <v/>
      </c>
      <c r="AD150" s="5" t="str">
        <f aca="false">IF($C150=AC$1,$F150,"")</f>
        <v/>
      </c>
      <c r="AE150" s="6" t="str">
        <f aca="false">IF($C150=AE$1,$K150,"")</f>
        <v/>
      </c>
      <c r="AF150" s="5" t="str">
        <f aca="false">IF($C150=AE$1,$F150,"")</f>
        <v/>
      </c>
      <c r="AG150" s="6" t="str">
        <f aca="false">IF($C150=AG$1,$K150,"")</f>
        <v/>
      </c>
      <c r="AH150" s="5" t="str">
        <f aca="false">IF($C150=AG$1,$F150,"")</f>
        <v/>
      </c>
      <c r="AI150" s="6" t="str">
        <f aca="false">IF($C150=AI$1,$K150,"")</f>
        <v/>
      </c>
      <c r="AJ150" s="5" t="str">
        <f aca="false">IF($C150=AI$1,$F150,"")</f>
        <v/>
      </c>
      <c r="AK150" s="6" t="str">
        <f aca="false">IF($C150=AK$1,$K150,"")</f>
        <v/>
      </c>
      <c r="AL150" s="5" t="str">
        <f aca="false">IF($C150=AK$1,$F150,"")</f>
        <v/>
      </c>
      <c r="AM150" s="6" t="str">
        <f aca="false">IF($C150=AM$1,$K150,"")</f>
        <v/>
      </c>
      <c r="AN150" s="5" t="str">
        <f aca="false">IF($C150=AM$1,$F150,"")</f>
        <v/>
      </c>
      <c r="AO150" s="6" t="str">
        <f aca="false">IF($C150=AO$1,$K150,"")</f>
        <v/>
      </c>
      <c r="AP150" s="5" t="str">
        <f aca="false">IF($C150=AO$1,$F150,"")</f>
        <v/>
      </c>
      <c r="AQ150" s="5" t="n">
        <f aca="false">IF($F150="",0,IF($D150=AQ$1,$F150,0))</f>
        <v>0</v>
      </c>
      <c r="AR150" s="6" t="n">
        <f aca="false">IF($D150=AQ$1,N($K150)-N($L150)-N($O150),0)</f>
        <v>0</v>
      </c>
      <c r="AS150" s="5" t="n">
        <f aca="false">IF($F150="",0,IF($D150=AS$1,$F150,0))</f>
        <v>0</v>
      </c>
      <c r="AT150" s="6" t="n">
        <f aca="false">IF($D150=AS$1,N($K150)-N($L150)-N($O150),0)</f>
        <v>0</v>
      </c>
      <c r="AU150" s="5" t="n">
        <f aca="false">IF(N($J150)&gt;0,N($F150),0)</f>
        <v>0</v>
      </c>
      <c r="AV150" s="6" t="n">
        <f aca="false">IF(N($J150)&gt;0,$F150*$J150,0)</f>
        <v>0</v>
      </c>
    </row>
    <row r="151" customFormat="false" ht="15" hidden="false" customHeight="false" outlineLevel="0" collapsed="false">
      <c r="A151" s="16"/>
      <c r="B151" s="4"/>
      <c r="C151" s="4"/>
      <c r="D151" s="4"/>
      <c r="E151" s="4" t="n">
        <f aca="false">E150+1</f>
        <v>149</v>
      </c>
      <c r="F151" s="5"/>
      <c r="G151" s="6"/>
      <c r="H151" s="6"/>
      <c r="I151" s="6"/>
      <c r="J151" s="6"/>
      <c r="K151" s="6" t="str">
        <f aca="false">IF($F151="","",$F151*$H151)</f>
        <v/>
      </c>
      <c r="L151" s="6" t="n">
        <f aca="false">IFERROR(ROUND($F151*$G151,-1),"")</f>
        <v>0</v>
      </c>
      <c r="M151" s="4"/>
      <c r="N151" s="5" t="str">
        <f aca="false">IF($F151="","",IF(N($I151)&gt;0,$F151,0))</f>
        <v/>
      </c>
      <c r="O151" s="6" t="str">
        <f aca="false">IF($F151="","",N($N151)*N($I151))</f>
        <v/>
      </c>
      <c r="P151" s="6" t="str">
        <f aca="false">IF(OR($C151=P$1,$C151="Titan Rocks"),$K151,"")</f>
        <v/>
      </c>
      <c r="Q151" s="6" t="str">
        <f aca="false">IF($C151=Q$1,$K151,"")</f>
        <v/>
      </c>
      <c r="R151" s="5" t="str">
        <f aca="false">IF($C151=Q$1,$F151,"")</f>
        <v/>
      </c>
      <c r="S151" s="6" t="str">
        <f aca="false">IF($C151=S$1,$K151,"")</f>
        <v/>
      </c>
      <c r="T151" s="5" t="str">
        <f aca="false">IF($C151=S$1,$F151,"")</f>
        <v/>
      </c>
      <c r="U151" s="6" t="str">
        <f aca="false">IF($C151=U$1,$K151,"")</f>
        <v/>
      </c>
      <c r="V151" s="5" t="str">
        <f aca="false">IF($C151=U$1,$F151,"")</f>
        <v/>
      </c>
      <c r="W151" s="6" t="str">
        <f aca="false">IF($C151=W$1,$K151,"")</f>
        <v/>
      </c>
      <c r="X151" s="5" t="str">
        <f aca="false">IF($C151=W$1,$F151,"")</f>
        <v/>
      </c>
      <c r="Y151" s="6" t="str">
        <f aca="false">IF($C151=Y$1,$K151,"")</f>
        <v/>
      </c>
      <c r="Z151" s="5" t="str">
        <f aca="false">IF($C151=Y$1,$F151,"")</f>
        <v/>
      </c>
      <c r="AA151" s="6" t="str">
        <f aca="false">IF($C151=AA$1,$K151,"")</f>
        <v/>
      </c>
      <c r="AB151" s="5" t="str">
        <f aca="false">IF($C151=AA$1,$F151,"")</f>
        <v/>
      </c>
      <c r="AC151" s="6" t="str">
        <f aca="false">IF($C151=AC$1,$K151,"")</f>
        <v/>
      </c>
      <c r="AD151" s="5" t="str">
        <f aca="false">IF($C151=AC$1,$F151,"")</f>
        <v/>
      </c>
      <c r="AE151" s="6" t="str">
        <f aca="false">IF($C151=AE$1,$K151,"")</f>
        <v/>
      </c>
      <c r="AF151" s="5" t="str">
        <f aca="false">IF($C151=AE$1,$F151,"")</f>
        <v/>
      </c>
      <c r="AG151" s="6" t="str">
        <f aca="false">IF($C151=AG$1,$K151,"")</f>
        <v/>
      </c>
      <c r="AH151" s="5" t="str">
        <f aca="false">IF($C151=AG$1,$F151,"")</f>
        <v/>
      </c>
      <c r="AI151" s="6" t="str">
        <f aca="false">IF($C151=AI$1,$K151,"")</f>
        <v/>
      </c>
      <c r="AJ151" s="5" t="str">
        <f aca="false">IF($C151=AI$1,$F151,"")</f>
        <v/>
      </c>
      <c r="AK151" s="6" t="str">
        <f aca="false">IF($C151=AK$1,$K151,"")</f>
        <v/>
      </c>
      <c r="AL151" s="5" t="str">
        <f aca="false">IF($C151=AK$1,$F151,"")</f>
        <v/>
      </c>
      <c r="AM151" s="6" t="str">
        <f aca="false">IF($C151=AM$1,$K151,"")</f>
        <v/>
      </c>
      <c r="AN151" s="5" t="str">
        <f aca="false">IF($C151=AM$1,$F151,"")</f>
        <v/>
      </c>
      <c r="AO151" s="6" t="str">
        <f aca="false">IF($C151=AO$1,$K151,"")</f>
        <v/>
      </c>
      <c r="AP151" s="5" t="str">
        <f aca="false">IF($C151=AO$1,$F151,"")</f>
        <v/>
      </c>
      <c r="AQ151" s="5" t="n">
        <f aca="false">IF($F151="",0,IF($D151=AQ$1,$F151,0))</f>
        <v>0</v>
      </c>
      <c r="AR151" s="6" t="n">
        <f aca="false">IF($D151=AQ$1,N($K151)-N($L151)-N($O151),0)</f>
        <v>0</v>
      </c>
      <c r="AS151" s="5" t="n">
        <f aca="false">IF($F151="",0,IF($D151=AS$1,$F151,0))</f>
        <v>0</v>
      </c>
      <c r="AT151" s="6" t="n">
        <f aca="false">IF($D151=AS$1,N($K151)-N($L151)-N($O151),0)</f>
        <v>0</v>
      </c>
      <c r="AU151" s="5" t="n">
        <f aca="false">IF(N($J151)&gt;0,N($F151),0)</f>
        <v>0</v>
      </c>
      <c r="AV151" s="6" t="n">
        <f aca="false">IF(N($J151)&gt;0,$F151*$J151,0)</f>
        <v>0</v>
      </c>
    </row>
    <row r="152" customFormat="false" ht="15" hidden="false" customHeight="false" outlineLevel="0" collapsed="false">
      <c r="A152" s="16"/>
      <c r="B152" s="4"/>
      <c r="C152" s="4"/>
      <c r="D152" s="4"/>
      <c r="E152" s="4" t="n">
        <f aca="false">E151+1</f>
        <v>150</v>
      </c>
      <c r="F152" s="5"/>
      <c r="G152" s="6"/>
      <c r="H152" s="6"/>
      <c r="I152" s="6"/>
      <c r="J152" s="6"/>
      <c r="K152" s="6" t="str">
        <f aca="false">IF($F152="","",$F152*$H152)</f>
        <v/>
      </c>
      <c r="L152" s="6" t="n">
        <f aca="false">IFERROR(ROUND($F152*$G152,-1),"")</f>
        <v>0</v>
      </c>
      <c r="M152" s="4"/>
      <c r="N152" s="5" t="str">
        <f aca="false">IF($F152="","",IF(N($I152)&gt;0,$F152,0))</f>
        <v/>
      </c>
      <c r="O152" s="6" t="str">
        <f aca="false">IF($F152="","",N($N152)*N($I152))</f>
        <v/>
      </c>
      <c r="P152" s="6" t="str">
        <f aca="false">IF(OR($C152=P$1,$C152="Titan Rocks"),$K152,"")</f>
        <v/>
      </c>
      <c r="Q152" s="6" t="str">
        <f aca="false">IF($C152=Q$1,$K152,"")</f>
        <v/>
      </c>
      <c r="R152" s="5" t="str">
        <f aca="false">IF($C152=Q$1,$F152,"")</f>
        <v/>
      </c>
      <c r="S152" s="6" t="str">
        <f aca="false">IF($C152=S$1,$K152,"")</f>
        <v/>
      </c>
      <c r="T152" s="5" t="str">
        <f aca="false">IF($C152=S$1,$F152,"")</f>
        <v/>
      </c>
      <c r="U152" s="6" t="str">
        <f aca="false">IF($C152=U$1,$K152,"")</f>
        <v/>
      </c>
      <c r="V152" s="5" t="str">
        <f aca="false">IF($C152=U$1,$F152,"")</f>
        <v/>
      </c>
      <c r="W152" s="6" t="str">
        <f aca="false">IF($C152=W$1,$K152,"")</f>
        <v/>
      </c>
      <c r="X152" s="5" t="str">
        <f aca="false">IF($C152=W$1,$F152,"")</f>
        <v/>
      </c>
      <c r="Y152" s="6" t="str">
        <f aca="false">IF($C152=Y$1,$K152,"")</f>
        <v/>
      </c>
      <c r="Z152" s="5" t="str">
        <f aca="false">IF($C152=Y$1,$F152,"")</f>
        <v/>
      </c>
      <c r="AA152" s="6" t="str">
        <f aca="false">IF($C152=AA$1,$K152,"")</f>
        <v/>
      </c>
      <c r="AB152" s="5" t="str">
        <f aca="false">IF($C152=AA$1,$F152,"")</f>
        <v/>
      </c>
      <c r="AC152" s="6" t="str">
        <f aca="false">IF($C152=AC$1,$K152,"")</f>
        <v/>
      </c>
      <c r="AD152" s="5" t="str">
        <f aca="false">IF($C152=AC$1,$F152,"")</f>
        <v/>
      </c>
      <c r="AE152" s="6" t="str">
        <f aca="false">IF($C152=AE$1,$K152,"")</f>
        <v/>
      </c>
      <c r="AF152" s="5" t="str">
        <f aca="false">IF($C152=AE$1,$F152,"")</f>
        <v/>
      </c>
      <c r="AG152" s="6" t="str">
        <f aca="false">IF($C152=AG$1,$K152,"")</f>
        <v/>
      </c>
      <c r="AH152" s="5" t="str">
        <f aca="false">IF($C152=AG$1,$F152,"")</f>
        <v/>
      </c>
      <c r="AI152" s="6" t="str">
        <f aca="false">IF($C152=AI$1,$K152,"")</f>
        <v/>
      </c>
      <c r="AJ152" s="5" t="str">
        <f aca="false">IF($C152=AI$1,$F152,"")</f>
        <v/>
      </c>
      <c r="AK152" s="6" t="str">
        <f aca="false">IF($C152=AK$1,$K152,"")</f>
        <v/>
      </c>
      <c r="AL152" s="5" t="str">
        <f aca="false">IF($C152=AK$1,$F152,"")</f>
        <v/>
      </c>
      <c r="AM152" s="6" t="str">
        <f aca="false">IF($C152=AM$1,$K152,"")</f>
        <v/>
      </c>
      <c r="AN152" s="5" t="str">
        <f aca="false">IF($C152=AM$1,$F152,"")</f>
        <v/>
      </c>
      <c r="AO152" s="6" t="str">
        <f aca="false">IF($C152=AO$1,$K152,"")</f>
        <v/>
      </c>
      <c r="AP152" s="5" t="str">
        <f aca="false">IF($C152=AO$1,$F152,"")</f>
        <v/>
      </c>
      <c r="AQ152" s="5" t="n">
        <f aca="false">IF($F152="",0,IF($D152=AQ$1,$F152,0))</f>
        <v>0</v>
      </c>
      <c r="AR152" s="6" t="n">
        <f aca="false">IF($D152=AQ$1,N($K152)-N($L152)-N($O152),0)</f>
        <v>0</v>
      </c>
      <c r="AS152" s="5" t="n">
        <f aca="false">IF($F152="",0,IF($D152=AS$1,$F152,0))</f>
        <v>0</v>
      </c>
      <c r="AT152" s="6" t="n">
        <f aca="false">IF($D152=AS$1,N($K152)-N($L152)-N($O152),0)</f>
        <v>0</v>
      </c>
      <c r="AU152" s="5" t="n">
        <f aca="false">IF(N($J152)&gt;0,N($F152),0)</f>
        <v>0</v>
      </c>
      <c r="AV152" s="6" t="n">
        <f aca="false">IF(N($J152)&gt;0,$F152*$J152,0)</f>
        <v>0</v>
      </c>
    </row>
    <row r="153" customFormat="false" ht="15" hidden="false" customHeight="false" outlineLevel="0" collapsed="false">
      <c r="A153" s="16"/>
      <c r="B153" s="4"/>
      <c r="C153" s="4"/>
      <c r="D153" s="4"/>
      <c r="E153" s="4" t="n">
        <f aca="false">E152+1</f>
        <v>151</v>
      </c>
      <c r="F153" s="5"/>
      <c r="G153" s="6"/>
      <c r="H153" s="6"/>
      <c r="I153" s="6"/>
      <c r="J153" s="6"/>
      <c r="K153" s="6" t="str">
        <f aca="false">IF($F153="","",$F153*$H153)</f>
        <v/>
      </c>
      <c r="L153" s="6" t="n">
        <f aca="false">IFERROR(ROUND($F153*$G153,-1),"")</f>
        <v>0</v>
      </c>
      <c r="M153" s="4"/>
      <c r="N153" s="5" t="str">
        <f aca="false">IF($F153="","",IF(N($I153)&gt;0,$F153,0))</f>
        <v/>
      </c>
      <c r="O153" s="6" t="str">
        <f aca="false">IF($F153="","",N($N153)*N($I153))</f>
        <v/>
      </c>
      <c r="P153" s="6" t="str">
        <f aca="false">IF(OR($C153=P$1,$C153="Titan Rocks"),$K153,"")</f>
        <v/>
      </c>
      <c r="Q153" s="6" t="str">
        <f aca="false">IF($C153=Q$1,$K153,"")</f>
        <v/>
      </c>
      <c r="R153" s="5" t="str">
        <f aca="false">IF($C153=Q$1,$F153,"")</f>
        <v/>
      </c>
      <c r="S153" s="6" t="str">
        <f aca="false">IF($C153=S$1,$K153,"")</f>
        <v/>
      </c>
      <c r="T153" s="5" t="str">
        <f aca="false">IF($C153=S$1,$F153,"")</f>
        <v/>
      </c>
      <c r="U153" s="6" t="str">
        <f aca="false">IF($C153=U$1,$K153,"")</f>
        <v/>
      </c>
      <c r="V153" s="5" t="str">
        <f aca="false">IF($C153=U$1,$F153,"")</f>
        <v/>
      </c>
      <c r="W153" s="6" t="str">
        <f aca="false">IF($C153=W$1,$K153,"")</f>
        <v/>
      </c>
      <c r="X153" s="5" t="str">
        <f aca="false">IF($C153=W$1,$F153,"")</f>
        <v/>
      </c>
      <c r="Y153" s="6" t="str">
        <f aca="false">IF($C153=Y$1,$K153,"")</f>
        <v/>
      </c>
      <c r="Z153" s="5" t="str">
        <f aca="false">IF($C153=Y$1,$F153,"")</f>
        <v/>
      </c>
      <c r="AA153" s="6" t="str">
        <f aca="false">IF($C153=AA$1,$K153,"")</f>
        <v/>
      </c>
      <c r="AB153" s="5" t="str">
        <f aca="false">IF($C153=AA$1,$F153,"")</f>
        <v/>
      </c>
      <c r="AC153" s="6" t="str">
        <f aca="false">IF($C153=AC$1,$K153,"")</f>
        <v/>
      </c>
      <c r="AD153" s="5" t="str">
        <f aca="false">IF($C153=AC$1,$F153,"")</f>
        <v/>
      </c>
      <c r="AE153" s="6" t="str">
        <f aca="false">IF($C153=AE$1,$K153,"")</f>
        <v/>
      </c>
      <c r="AF153" s="5" t="str">
        <f aca="false">IF($C153=AE$1,$F153,"")</f>
        <v/>
      </c>
      <c r="AG153" s="6" t="str">
        <f aca="false">IF($C153=AG$1,$K153,"")</f>
        <v/>
      </c>
      <c r="AH153" s="5" t="str">
        <f aca="false">IF($C153=AG$1,$F153,"")</f>
        <v/>
      </c>
      <c r="AI153" s="6" t="str">
        <f aca="false">IF($C153=AI$1,$K153,"")</f>
        <v/>
      </c>
      <c r="AJ153" s="5" t="str">
        <f aca="false">IF($C153=AI$1,$F153,"")</f>
        <v/>
      </c>
      <c r="AK153" s="6" t="str">
        <f aca="false">IF($C153=AK$1,$K153,"")</f>
        <v/>
      </c>
      <c r="AL153" s="5" t="str">
        <f aca="false">IF($C153=AK$1,$F153,"")</f>
        <v/>
      </c>
      <c r="AM153" s="6" t="str">
        <f aca="false">IF($C153=AM$1,$K153,"")</f>
        <v/>
      </c>
      <c r="AN153" s="5" t="str">
        <f aca="false">IF($C153=AM$1,$F153,"")</f>
        <v/>
      </c>
      <c r="AO153" s="6" t="str">
        <f aca="false">IF($C153=AO$1,$K153,"")</f>
        <v/>
      </c>
      <c r="AP153" s="5" t="str">
        <f aca="false">IF($C153=AO$1,$F153,"")</f>
        <v/>
      </c>
      <c r="AQ153" s="5" t="n">
        <f aca="false">IF($F153="",0,IF($D153=AQ$1,$F153,0))</f>
        <v>0</v>
      </c>
      <c r="AR153" s="6" t="n">
        <f aca="false">IF($D153=AQ$1,N($K153)-N($L153)-N($O153),0)</f>
        <v>0</v>
      </c>
      <c r="AS153" s="5" t="n">
        <f aca="false">IF($F153="",0,IF($D153=AS$1,$F153,0))</f>
        <v>0</v>
      </c>
      <c r="AT153" s="6" t="n">
        <f aca="false">IF($D153=AS$1,N($K153)-N($L153)-N($O153),0)</f>
        <v>0</v>
      </c>
      <c r="AU153" s="5" t="n">
        <f aca="false">IF(N($J153)&gt;0,N($F153),0)</f>
        <v>0</v>
      </c>
      <c r="AV153" s="6" t="n">
        <f aca="false">IF(N($J153)&gt;0,$F153*$J153,0)</f>
        <v>0</v>
      </c>
    </row>
    <row r="154" customFormat="false" ht="15" hidden="false" customHeight="false" outlineLevel="0" collapsed="false">
      <c r="A154" s="16"/>
      <c r="B154" s="4"/>
      <c r="C154" s="4"/>
      <c r="D154" s="4"/>
      <c r="E154" s="4" t="n">
        <f aca="false">E153+1</f>
        <v>152</v>
      </c>
      <c r="F154" s="5"/>
      <c r="G154" s="6"/>
      <c r="H154" s="6"/>
      <c r="I154" s="6"/>
      <c r="J154" s="6"/>
      <c r="K154" s="6" t="str">
        <f aca="false">IF($F154="","",$F154*$H154)</f>
        <v/>
      </c>
      <c r="L154" s="6" t="n">
        <f aca="false">IFERROR(ROUND($F154*$G154,-1),"")</f>
        <v>0</v>
      </c>
      <c r="M154" s="4"/>
      <c r="N154" s="5" t="str">
        <f aca="false">IF($F154="","",IF(N($I154)&gt;0,$F154,0))</f>
        <v/>
      </c>
      <c r="O154" s="6" t="str">
        <f aca="false">IF($F154="","",N($N154)*N($I154))</f>
        <v/>
      </c>
      <c r="P154" s="6" t="str">
        <f aca="false">IF(OR($C154=P$1,$C154="Titan Rocks"),$K154,"")</f>
        <v/>
      </c>
      <c r="Q154" s="6" t="str">
        <f aca="false">IF($C154=Q$1,$K154,"")</f>
        <v/>
      </c>
      <c r="R154" s="5" t="str">
        <f aca="false">IF($C154=Q$1,$F154,"")</f>
        <v/>
      </c>
      <c r="S154" s="6" t="str">
        <f aca="false">IF($C154=S$1,$K154,"")</f>
        <v/>
      </c>
      <c r="T154" s="5" t="str">
        <f aca="false">IF($C154=S$1,$F154,"")</f>
        <v/>
      </c>
      <c r="U154" s="6" t="str">
        <f aca="false">IF($C154=U$1,$K154,"")</f>
        <v/>
      </c>
      <c r="V154" s="5" t="str">
        <f aca="false">IF($C154=U$1,$F154,"")</f>
        <v/>
      </c>
      <c r="W154" s="6" t="str">
        <f aca="false">IF($C154=W$1,$K154,"")</f>
        <v/>
      </c>
      <c r="X154" s="5" t="str">
        <f aca="false">IF($C154=W$1,$F154,"")</f>
        <v/>
      </c>
      <c r="Y154" s="6" t="str">
        <f aca="false">IF($C154=Y$1,$K154,"")</f>
        <v/>
      </c>
      <c r="Z154" s="5" t="str">
        <f aca="false">IF($C154=Y$1,$F154,"")</f>
        <v/>
      </c>
      <c r="AA154" s="6" t="str">
        <f aca="false">IF($C154=AA$1,$K154,"")</f>
        <v/>
      </c>
      <c r="AB154" s="5" t="str">
        <f aca="false">IF($C154=AA$1,$F154,"")</f>
        <v/>
      </c>
      <c r="AC154" s="6" t="str">
        <f aca="false">IF($C154=AC$1,$K154,"")</f>
        <v/>
      </c>
      <c r="AD154" s="5" t="str">
        <f aca="false">IF($C154=AC$1,$F154,"")</f>
        <v/>
      </c>
      <c r="AE154" s="6" t="str">
        <f aca="false">IF($C154=AE$1,$K154,"")</f>
        <v/>
      </c>
      <c r="AF154" s="5" t="str">
        <f aca="false">IF($C154=AE$1,$F154,"")</f>
        <v/>
      </c>
      <c r="AG154" s="6" t="str">
        <f aca="false">IF($C154=AG$1,$K154,"")</f>
        <v/>
      </c>
      <c r="AH154" s="5" t="str">
        <f aca="false">IF($C154=AG$1,$F154,"")</f>
        <v/>
      </c>
      <c r="AI154" s="6" t="str">
        <f aca="false">IF($C154=AI$1,$K154,"")</f>
        <v/>
      </c>
      <c r="AJ154" s="5" t="str">
        <f aca="false">IF($C154=AI$1,$F154,"")</f>
        <v/>
      </c>
      <c r="AK154" s="6" t="str">
        <f aca="false">IF($C154=AK$1,$K154,"")</f>
        <v/>
      </c>
      <c r="AL154" s="5" t="str">
        <f aca="false">IF($C154=AK$1,$F154,"")</f>
        <v/>
      </c>
      <c r="AM154" s="6" t="str">
        <f aca="false">IF($C154=AM$1,$K154,"")</f>
        <v/>
      </c>
      <c r="AN154" s="5" t="str">
        <f aca="false">IF($C154=AM$1,$F154,"")</f>
        <v/>
      </c>
      <c r="AO154" s="6" t="str">
        <f aca="false">IF($C154=AO$1,$K154,"")</f>
        <v/>
      </c>
      <c r="AP154" s="5" t="str">
        <f aca="false">IF($C154=AO$1,$F154,"")</f>
        <v/>
      </c>
      <c r="AQ154" s="5" t="n">
        <f aca="false">IF($F154="",0,IF($D154=AQ$1,$F154,0))</f>
        <v>0</v>
      </c>
      <c r="AR154" s="6" t="n">
        <f aca="false">IF($D154=AQ$1,N($K154)-N($L154)-N($O154),0)</f>
        <v>0</v>
      </c>
      <c r="AS154" s="5" t="n">
        <f aca="false">IF($F154="",0,IF($D154=AS$1,$F154,0))</f>
        <v>0</v>
      </c>
      <c r="AT154" s="6" t="n">
        <f aca="false">IF($D154=AS$1,N($K154)-N($L154)-N($O154),0)</f>
        <v>0</v>
      </c>
      <c r="AU154" s="5" t="n">
        <f aca="false">IF(N($J154)&gt;0,N($F154),0)</f>
        <v>0</v>
      </c>
      <c r="AV154" s="6" t="n">
        <f aca="false">IF(N($J154)&gt;0,$F154*$J154,0)</f>
        <v>0</v>
      </c>
    </row>
    <row r="155" customFormat="false" ht="15" hidden="false" customHeight="false" outlineLevel="0" collapsed="false">
      <c r="A155" s="16"/>
      <c r="B155" s="4"/>
      <c r="C155" s="4"/>
      <c r="D155" s="4"/>
      <c r="E155" s="4" t="n">
        <f aca="false">E154+1</f>
        <v>153</v>
      </c>
      <c r="F155" s="5"/>
      <c r="G155" s="6"/>
      <c r="H155" s="6"/>
      <c r="I155" s="6"/>
      <c r="J155" s="6"/>
      <c r="K155" s="6" t="str">
        <f aca="false">IF($F155="","",$F155*$H155)</f>
        <v/>
      </c>
      <c r="L155" s="6" t="n">
        <f aca="false">IFERROR(ROUND($F155*$G155,-1),"")</f>
        <v>0</v>
      </c>
      <c r="M155" s="4"/>
      <c r="N155" s="5" t="str">
        <f aca="false">IF($F155="","",IF(N($I155)&gt;0,$F155,0))</f>
        <v/>
      </c>
      <c r="O155" s="6" t="str">
        <f aca="false">IF($F155="","",N($N155)*N($I155))</f>
        <v/>
      </c>
      <c r="P155" s="6" t="str">
        <f aca="false">IF(OR($C155=P$1,$C155="Titan Rocks"),$K155,"")</f>
        <v/>
      </c>
      <c r="Q155" s="6" t="str">
        <f aca="false">IF($C155=Q$1,$K155,"")</f>
        <v/>
      </c>
      <c r="R155" s="5" t="str">
        <f aca="false">IF($C155=Q$1,$F155,"")</f>
        <v/>
      </c>
      <c r="S155" s="6" t="str">
        <f aca="false">IF($C155=S$1,$K155,"")</f>
        <v/>
      </c>
      <c r="T155" s="5" t="str">
        <f aca="false">IF($C155=S$1,$F155,"")</f>
        <v/>
      </c>
      <c r="U155" s="6" t="str">
        <f aca="false">IF($C155=U$1,$K155,"")</f>
        <v/>
      </c>
      <c r="V155" s="5" t="str">
        <f aca="false">IF($C155=U$1,$F155,"")</f>
        <v/>
      </c>
      <c r="W155" s="6" t="str">
        <f aca="false">IF($C155=W$1,$K155,"")</f>
        <v/>
      </c>
      <c r="X155" s="5" t="str">
        <f aca="false">IF($C155=W$1,$F155,"")</f>
        <v/>
      </c>
      <c r="Y155" s="6" t="str">
        <f aca="false">IF($C155=Y$1,$K155,"")</f>
        <v/>
      </c>
      <c r="Z155" s="5" t="str">
        <f aca="false">IF($C155=Y$1,$F155,"")</f>
        <v/>
      </c>
      <c r="AA155" s="6" t="str">
        <f aca="false">IF($C155=AA$1,$K155,"")</f>
        <v/>
      </c>
      <c r="AB155" s="5" t="str">
        <f aca="false">IF($C155=AA$1,$F155,"")</f>
        <v/>
      </c>
      <c r="AC155" s="6" t="str">
        <f aca="false">IF($C155=AC$1,$K155,"")</f>
        <v/>
      </c>
      <c r="AD155" s="5" t="str">
        <f aca="false">IF($C155=AC$1,$F155,"")</f>
        <v/>
      </c>
      <c r="AE155" s="6" t="str">
        <f aca="false">IF($C155=AE$1,$K155,"")</f>
        <v/>
      </c>
      <c r="AF155" s="5" t="str">
        <f aca="false">IF($C155=AE$1,$F155,"")</f>
        <v/>
      </c>
      <c r="AG155" s="6" t="str">
        <f aca="false">IF($C155=AG$1,$K155,"")</f>
        <v/>
      </c>
      <c r="AH155" s="5" t="str">
        <f aca="false">IF($C155=AG$1,$F155,"")</f>
        <v/>
      </c>
      <c r="AI155" s="6" t="str">
        <f aca="false">IF($C155=AI$1,$K155,"")</f>
        <v/>
      </c>
      <c r="AJ155" s="5" t="str">
        <f aca="false">IF($C155=AI$1,$F155,"")</f>
        <v/>
      </c>
      <c r="AK155" s="6" t="str">
        <f aca="false">IF($C155=AK$1,$K155,"")</f>
        <v/>
      </c>
      <c r="AL155" s="5" t="str">
        <f aca="false">IF($C155=AK$1,$F155,"")</f>
        <v/>
      </c>
      <c r="AM155" s="6" t="str">
        <f aca="false">IF($C155=AM$1,$K155,"")</f>
        <v/>
      </c>
      <c r="AN155" s="5" t="str">
        <f aca="false">IF($C155=AM$1,$F155,"")</f>
        <v/>
      </c>
      <c r="AO155" s="6" t="str">
        <f aca="false">IF($C155=AO$1,$K155,"")</f>
        <v/>
      </c>
      <c r="AP155" s="5" t="str">
        <f aca="false">IF($C155=AO$1,$F155,"")</f>
        <v/>
      </c>
      <c r="AQ155" s="5" t="n">
        <f aca="false">IF($F155="",0,IF($D155=AQ$1,$F155,0))</f>
        <v>0</v>
      </c>
      <c r="AR155" s="6" t="n">
        <f aca="false">IF($D155=AQ$1,N($K155)-N($L155)-N($O155),0)</f>
        <v>0</v>
      </c>
      <c r="AS155" s="5" t="n">
        <f aca="false">IF($F155="",0,IF($D155=AS$1,$F155,0))</f>
        <v>0</v>
      </c>
      <c r="AT155" s="6" t="n">
        <f aca="false">IF($D155=AS$1,N($K155)-N($L155)-N($O155),0)</f>
        <v>0</v>
      </c>
      <c r="AU155" s="5" t="n">
        <f aca="false">IF(N($J155)&gt;0,N($F155),0)</f>
        <v>0</v>
      </c>
      <c r="AV155" s="6" t="n">
        <f aca="false">IF(N($J155)&gt;0,$F155*$J155,0)</f>
        <v>0</v>
      </c>
    </row>
    <row r="156" customFormat="false" ht="15" hidden="false" customHeight="false" outlineLevel="0" collapsed="false">
      <c r="A156" s="16"/>
      <c r="B156" s="4"/>
      <c r="C156" s="4"/>
      <c r="D156" s="4"/>
      <c r="E156" s="4" t="n">
        <f aca="false">E155+1</f>
        <v>154</v>
      </c>
      <c r="F156" s="5"/>
      <c r="G156" s="6"/>
      <c r="H156" s="6"/>
      <c r="I156" s="6"/>
      <c r="J156" s="6"/>
      <c r="K156" s="6" t="str">
        <f aca="false">IF($F156="","",$F156*$H156)</f>
        <v/>
      </c>
      <c r="L156" s="6" t="n">
        <f aca="false">IFERROR(ROUND($F156*$G156,-1),"")</f>
        <v>0</v>
      </c>
      <c r="M156" s="4"/>
      <c r="N156" s="5" t="str">
        <f aca="false">IF($F156="","",IF(N($I156)&gt;0,$F156,0))</f>
        <v/>
      </c>
      <c r="O156" s="6" t="str">
        <f aca="false">IF($F156="","",N($N156)*N($I156))</f>
        <v/>
      </c>
      <c r="P156" s="6" t="str">
        <f aca="false">IF(OR($C156=P$1,$C156="Titan Rocks"),$K156,"")</f>
        <v/>
      </c>
      <c r="Q156" s="6" t="str">
        <f aca="false">IF($C156=Q$1,$K156,"")</f>
        <v/>
      </c>
      <c r="R156" s="5" t="str">
        <f aca="false">IF($C156=Q$1,$F156,"")</f>
        <v/>
      </c>
      <c r="S156" s="6" t="str">
        <f aca="false">IF($C156=S$1,$K156,"")</f>
        <v/>
      </c>
      <c r="T156" s="5" t="str">
        <f aca="false">IF($C156=S$1,$F156,"")</f>
        <v/>
      </c>
      <c r="U156" s="6" t="str">
        <f aca="false">IF($C156=U$1,$K156,"")</f>
        <v/>
      </c>
      <c r="V156" s="5" t="str">
        <f aca="false">IF($C156=U$1,$F156,"")</f>
        <v/>
      </c>
      <c r="W156" s="6" t="str">
        <f aca="false">IF($C156=W$1,$K156,"")</f>
        <v/>
      </c>
      <c r="X156" s="5" t="str">
        <f aca="false">IF($C156=W$1,$F156,"")</f>
        <v/>
      </c>
      <c r="Y156" s="6" t="str">
        <f aca="false">IF($C156=Y$1,$K156,"")</f>
        <v/>
      </c>
      <c r="Z156" s="5" t="str">
        <f aca="false">IF($C156=Y$1,$F156,"")</f>
        <v/>
      </c>
      <c r="AA156" s="6" t="str">
        <f aca="false">IF($C156=AA$1,$K156,"")</f>
        <v/>
      </c>
      <c r="AB156" s="5" t="str">
        <f aca="false">IF($C156=AA$1,$F156,"")</f>
        <v/>
      </c>
      <c r="AC156" s="6" t="str">
        <f aca="false">IF($C156=AC$1,$K156,"")</f>
        <v/>
      </c>
      <c r="AD156" s="5" t="str">
        <f aca="false">IF($C156=AC$1,$F156,"")</f>
        <v/>
      </c>
      <c r="AE156" s="6" t="str">
        <f aca="false">IF($C156=AE$1,$K156,"")</f>
        <v/>
      </c>
      <c r="AF156" s="5" t="str">
        <f aca="false">IF($C156=AE$1,$F156,"")</f>
        <v/>
      </c>
      <c r="AG156" s="6" t="str">
        <f aca="false">IF($C156=AG$1,$K156,"")</f>
        <v/>
      </c>
      <c r="AH156" s="5" t="str">
        <f aca="false">IF($C156=AG$1,$F156,"")</f>
        <v/>
      </c>
      <c r="AI156" s="6" t="str">
        <f aca="false">IF($C156=AI$1,$K156,"")</f>
        <v/>
      </c>
      <c r="AJ156" s="5" t="str">
        <f aca="false">IF($C156=AI$1,$F156,"")</f>
        <v/>
      </c>
      <c r="AK156" s="6" t="str">
        <f aca="false">IF($C156=AK$1,$K156,"")</f>
        <v/>
      </c>
      <c r="AL156" s="5" t="str">
        <f aca="false">IF($C156=AK$1,$F156,"")</f>
        <v/>
      </c>
      <c r="AM156" s="6" t="str">
        <f aca="false">IF($C156=AM$1,$K156,"")</f>
        <v/>
      </c>
      <c r="AN156" s="5" t="str">
        <f aca="false">IF($C156=AM$1,$F156,"")</f>
        <v/>
      </c>
      <c r="AO156" s="6" t="str">
        <f aca="false">IF($C156=AO$1,$K156,"")</f>
        <v/>
      </c>
      <c r="AP156" s="5" t="str">
        <f aca="false">IF($C156=AO$1,$F156,"")</f>
        <v/>
      </c>
      <c r="AQ156" s="5" t="n">
        <f aca="false">IF($F156="",0,IF($D156=AQ$1,$F156,0))</f>
        <v>0</v>
      </c>
      <c r="AR156" s="6" t="n">
        <f aca="false">IF($D156=AQ$1,N($K156)-N($L156)-N($O156),0)</f>
        <v>0</v>
      </c>
      <c r="AS156" s="5" t="n">
        <f aca="false">IF($F156="",0,IF($D156=AS$1,$F156,0))</f>
        <v>0</v>
      </c>
      <c r="AT156" s="6" t="n">
        <f aca="false">IF($D156=AS$1,N($K156)-N($L156)-N($O156),0)</f>
        <v>0</v>
      </c>
      <c r="AU156" s="5" t="n">
        <f aca="false">IF(N($J156)&gt;0,N($F156),0)</f>
        <v>0</v>
      </c>
      <c r="AV156" s="6" t="n">
        <f aca="false">IF(N($J156)&gt;0,$F156*$J156,0)</f>
        <v>0</v>
      </c>
    </row>
    <row r="157" customFormat="false" ht="15" hidden="false" customHeight="false" outlineLevel="0" collapsed="false">
      <c r="A157" s="16"/>
      <c r="B157" s="4"/>
      <c r="C157" s="4"/>
      <c r="D157" s="4"/>
      <c r="E157" s="4" t="n">
        <f aca="false">E156+1</f>
        <v>155</v>
      </c>
      <c r="F157" s="5"/>
      <c r="G157" s="6"/>
      <c r="H157" s="6"/>
      <c r="I157" s="6"/>
      <c r="J157" s="6"/>
      <c r="K157" s="6" t="str">
        <f aca="false">IF($F157="","",$F157*$H157)</f>
        <v/>
      </c>
      <c r="L157" s="6" t="n">
        <f aca="false">IFERROR(ROUND($F157*$G157,-1),"")</f>
        <v>0</v>
      </c>
      <c r="M157" s="4"/>
      <c r="N157" s="5" t="str">
        <f aca="false">IF($F157="","",IF(N($I157)&gt;0,$F157,0))</f>
        <v/>
      </c>
      <c r="O157" s="6" t="str">
        <f aca="false">IF($F157="","",N($N157)*N($I157))</f>
        <v/>
      </c>
      <c r="P157" s="6" t="str">
        <f aca="false">IF(OR($C157=P$1,$C157="Titan Rocks"),$K157,"")</f>
        <v/>
      </c>
      <c r="Q157" s="6" t="str">
        <f aca="false">IF($C157=Q$1,$K157,"")</f>
        <v/>
      </c>
      <c r="R157" s="5" t="str">
        <f aca="false">IF($C157=Q$1,$F157,"")</f>
        <v/>
      </c>
      <c r="S157" s="6" t="str">
        <f aca="false">IF($C157=S$1,$K157,"")</f>
        <v/>
      </c>
      <c r="T157" s="5" t="str">
        <f aca="false">IF($C157=S$1,$F157,"")</f>
        <v/>
      </c>
      <c r="U157" s="6" t="str">
        <f aca="false">IF($C157=U$1,$K157,"")</f>
        <v/>
      </c>
      <c r="V157" s="5" t="str">
        <f aca="false">IF($C157=U$1,$F157,"")</f>
        <v/>
      </c>
      <c r="W157" s="6" t="str">
        <f aca="false">IF($C157=W$1,$K157,"")</f>
        <v/>
      </c>
      <c r="X157" s="5" t="str">
        <f aca="false">IF($C157=W$1,$F157,"")</f>
        <v/>
      </c>
      <c r="Y157" s="6" t="str">
        <f aca="false">IF($C157=Y$1,$K157,"")</f>
        <v/>
      </c>
      <c r="Z157" s="5" t="str">
        <f aca="false">IF($C157=Y$1,$F157,"")</f>
        <v/>
      </c>
      <c r="AA157" s="6" t="str">
        <f aca="false">IF($C157=AA$1,$K157,"")</f>
        <v/>
      </c>
      <c r="AB157" s="5" t="str">
        <f aca="false">IF($C157=AA$1,$F157,"")</f>
        <v/>
      </c>
      <c r="AC157" s="6" t="str">
        <f aca="false">IF($C157=AC$1,$K157,"")</f>
        <v/>
      </c>
      <c r="AD157" s="5" t="str">
        <f aca="false">IF($C157=AC$1,$F157,"")</f>
        <v/>
      </c>
      <c r="AE157" s="6" t="str">
        <f aca="false">IF($C157=AE$1,$K157,"")</f>
        <v/>
      </c>
      <c r="AF157" s="5" t="str">
        <f aca="false">IF($C157=AE$1,$F157,"")</f>
        <v/>
      </c>
      <c r="AG157" s="6" t="str">
        <f aca="false">IF($C157=AG$1,$K157,"")</f>
        <v/>
      </c>
      <c r="AH157" s="5" t="str">
        <f aca="false">IF($C157=AG$1,$F157,"")</f>
        <v/>
      </c>
      <c r="AI157" s="6" t="str">
        <f aca="false">IF($C157=AI$1,$K157,"")</f>
        <v/>
      </c>
      <c r="AJ157" s="5" t="str">
        <f aca="false">IF($C157=AI$1,$F157,"")</f>
        <v/>
      </c>
      <c r="AK157" s="6" t="str">
        <f aca="false">IF($C157=AK$1,$K157,"")</f>
        <v/>
      </c>
      <c r="AL157" s="5" t="str">
        <f aca="false">IF($C157=AK$1,$F157,"")</f>
        <v/>
      </c>
      <c r="AM157" s="6" t="str">
        <f aca="false">IF($C157=AM$1,$K157,"")</f>
        <v/>
      </c>
      <c r="AN157" s="5" t="str">
        <f aca="false">IF($C157=AM$1,$F157,"")</f>
        <v/>
      </c>
      <c r="AO157" s="6" t="str">
        <f aca="false">IF($C157=AO$1,$K157,"")</f>
        <v/>
      </c>
      <c r="AP157" s="5" t="str">
        <f aca="false">IF($C157=AO$1,$F157,"")</f>
        <v/>
      </c>
      <c r="AQ157" s="5" t="n">
        <f aca="false">IF($F157="",0,IF($D157=AQ$1,$F157,0))</f>
        <v>0</v>
      </c>
      <c r="AR157" s="6" t="n">
        <f aca="false">IF($D157=AQ$1,N($K157)-N($L157)-N($O157),0)</f>
        <v>0</v>
      </c>
      <c r="AS157" s="5" t="n">
        <f aca="false">IF($F157="",0,IF($D157=AS$1,$F157,0))</f>
        <v>0</v>
      </c>
      <c r="AT157" s="6" t="n">
        <f aca="false">IF($D157=AS$1,N($K157)-N($L157)-N($O157),0)</f>
        <v>0</v>
      </c>
      <c r="AU157" s="5" t="n">
        <f aca="false">IF(N($J157)&gt;0,N($F157),0)</f>
        <v>0</v>
      </c>
      <c r="AV157" s="6" t="n">
        <f aca="false">IF(N($J157)&gt;0,$F157*$J157,0)</f>
        <v>0</v>
      </c>
    </row>
    <row r="158" customFormat="false" ht="15" hidden="false" customHeight="false" outlineLevel="0" collapsed="false">
      <c r="A158" s="16"/>
      <c r="B158" s="4"/>
      <c r="C158" s="4"/>
      <c r="D158" s="4"/>
      <c r="E158" s="4" t="n">
        <f aca="false">E157+1</f>
        <v>156</v>
      </c>
      <c r="F158" s="5"/>
      <c r="G158" s="6"/>
      <c r="H158" s="6"/>
      <c r="I158" s="6"/>
      <c r="J158" s="6"/>
      <c r="K158" s="6" t="str">
        <f aca="false">IF($F158="","",$F158*$H158)</f>
        <v/>
      </c>
      <c r="L158" s="6" t="n">
        <f aca="false">IFERROR(ROUND($F158*$G158,-1),"")</f>
        <v>0</v>
      </c>
      <c r="M158" s="4"/>
      <c r="N158" s="5" t="str">
        <f aca="false">IF($F158="","",IF(N($I158)&gt;0,$F158,0))</f>
        <v/>
      </c>
      <c r="O158" s="6" t="str">
        <f aca="false">IF($F158="","",N($N158)*N($I158))</f>
        <v/>
      </c>
      <c r="P158" s="6" t="str">
        <f aca="false">IF(OR($C158=P$1,$C158="Titan Rocks"),$K158,"")</f>
        <v/>
      </c>
      <c r="Q158" s="6" t="str">
        <f aca="false">IF($C158=Q$1,$K158,"")</f>
        <v/>
      </c>
      <c r="R158" s="5" t="str">
        <f aca="false">IF($C158=Q$1,$F158,"")</f>
        <v/>
      </c>
      <c r="S158" s="6" t="str">
        <f aca="false">IF($C158=S$1,$K158,"")</f>
        <v/>
      </c>
      <c r="T158" s="5" t="str">
        <f aca="false">IF($C158=S$1,$F158,"")</f>
        <v/>
      </c>
      <c r="U158" s="6" t="str">
        <f aca="false">IF($C158=U$1,$K158,"")</f>
        <v/>
      </c>
      <c r="V158" s="5" t="str">
        <f aca="false">IF($C158=U$1,$F158,"")</f>
        <v/>
      </c>
      <c r="W158" s="6" t="str">
        <f aca="false">IF($C158=W$1,$K158,"")</f>
        <v/>
      </c>
      <c r="X158" s="5" t="str">
        <f aca="false">IF($C158=W$1,$F158,"")</f>
        <v/>
      </c>
      <c r="Y158" s="6" t="str">
        <f aca="false">IF($C158=Y$1,$K158,"")</f>
        <v/>
      </c>
      <c r="Z158" s="5" t="str">
        <f aca="false">IF($C158=Y$1,$F158,"")</f>
        <v/>
      </c>
      <c r="AA158" s="6" t="str">
        <f aca="false">IF($C158=AA$1,$K158,"")</f>
        <v/>
      </c>
      <c r="AB158" s="5" t="str">
        <f aca="false">IF($C158=AA$1,$F158,"")</f>
        <v/>
      </c>
      <c r="AC158" s="6" t="str">
        <f aca="false">IF($C158=AC$1,$K158,"")</f>
        <v/>
      </c>
      <c r="AD158" s="5" t="str">
        <f aca="false">IF($C158=AC$1,$F158,"")</f>
        <v/>
      </c>
      <c r="AE158" s="6" t="str">
        <f aca="false">IF($C158=AE$1,$K158,"")</f>
        <v/>
      </c>
      <c r="AF158" s="5" t="str">
        <f aca="false">IF($C158=AE$1,$F158,"")</f>
        <v/>
      </c>
      <c r="AG158" s="6" t="str">
        <f aca="false">IF($C158=AG$1,$K158,"")</f>
        <v/>
      </c>
      <c r="AH158" s="5" t="str">
        <f aca="false">IF($C158=AG$1,$F158,"")</f>
        <v/>
      </c>
      <c r="AI158" s="6" t="str">
        <f aca="false">IF($C158=AI$1,$K158,"")</f>
        <v/>
      </c>
      <c r="AJ158" s="5" t="str">
        <f aca="false">IF($C158=AI$1,$F158,"")</f>
        <v/>
      </c>
      <c r="AK158" s="6" t="str">
        <f aca="false">IF($C158=AK$1,$K158,"")</f>
        <v/>
      </c>
      <c r="AL158" s="5" t="str">
        <f aca="false">IF($C158=AK$1,$F158,"")</f>
        <v/>
      </c>
      <c r="AM158" s="6" t="str">
        <f aca="false">IF($C158=AM$1,$K158,"")</f>
        <v/>
      </c>
      <c r="AN158" s="5" t="str">
        <f aca="false">IF($C158=AM$1,$F158,"")</f>
        <v/>
      </c>
      <c r="AO158" s="6" t="str">
        <f aca="false">IF($C158=AO$1,$K158,"")</f>
        <v/>
      </c>
      <c r="AP158" s="5" t="str">
        <f aca="false">IF($C158=AO$1,$F158,"")</f>
        <v/>
      </c>
      <c r="AQ158" s="5" t="n">
        <f aca="false">IF($F158="",0,IF($D158=AQ$1,$F158,0))</f>
        <v>0</v>
      </c>
      <c r="AR158" s="6" t="n">
        <f aca="false">IF($D158=AQ$1,N($K158)-N($L158)-N($O158),0)</f>
        <v>0</v>
      </c>
      <c r="AS158" s="5" t="n">
        <f aca="false">IF($F158="",0,IF($D158=AS$1,$F158,0))</f>
        <v>0</v>
      </c>
      <c r="AT158" s="6" t="n">
        <f aca="false">IF($D158=AS$1,N($K158)-N($L158)-N($O158),0)</f>
        <v>0</v>
      </c>
      <c r="AU158" s="5" t="n">
        <f aca="false">IF(N($J158)&gt;0,N($F158),0)</f>
        <v>0</v>
      </c>
      <c r="AV158" s="6" t="n">
        <f aca="false">IF(N($J158)&gt;0,$F158*$J158,0)</f>
        <v>0</v>
      </c>
    </row>
    <row r="159" customFormat="false" ht="15" hidden="false" customHeight="false" outlineLevel="0" collapsed="false">
      <c r="A159" s="16"/>
      <c r="B159" s="4"/>
      <c r="C159" s="4"/>
      <c r="D159" s="4"/>
      <c r="E159" s="4" t="n">
        <f aca="false">E158+1</f>
        <v>157</v>
      </c>
      <c r="F159" s="5"/>
      <c r="G159" s="6"/>
      <c r="H159" s="6"/>
      <c r="I159" s="6"/>
      <c r="J159" s="6"/>
      <c r="K159" s="6" t="str">
        <f aca="false">IF($F159="","",$F159*$H159)</f>
        <v/>
      </c>
      <c r="L159" s="6" t="n">
        <f aca="false">IFERROR(ROUND($F159*$G159,-1),"")</f>
        <v>0</v>
      </c>
      <c r="M159" s="4"/>
      <c r="N159" s="5" t="str">
        <f aca="false">IF($F159="","",IF(N($I159)&gt;0,$F159,0))</f>
        <v/>
      </c>
      <c r="O159" s="6" t="str">
        <f aca="false">IF($F159="","",N($N159)*N($I159))</f>
        <v/>
      </c>
      <c r="P159" s="6" t="str">
        <f aca="false">IF(OR($C159=P$1,$C159="Titan Rocks"),$K159,"")</f>
        <v/>
      </c>
      <c r="Q159" s="6" t="str">
        <f aca="false">IF($C159=Q$1,$K159,"")</f>
        <v/>
      </c>
      <c r="R159" s="5" t="str">
        <f aca="false">IF($C159=Q$1,$F159,"")</f>
        <v/>
      </c>
      <c r="S159" s="6" t="str">
        <f aca="false">IF($C159=S$1,$K159,"")</f>
        <v/>
      </c>
      <c r="T159" s="5" t="str">
        <f aca="false">IF($C159=S$1,$F159,"")</f>
        <v/>
      </c>
      <c r="U159" s="6" t="str">
        <f aca="false">IF($C159=U$1,$K159,"")</f>
        <v/>
      </c>
      <c r="V159" s="5" t="str">
        <f aca="false">IF($C159=U$1,$F159,"")</f>
        <v/>
      </c>
      <c r="W159" s="6" t="str">
        <f aca="false">IF($C159=W$1,$K159,"")</f>
        <v/>
      </c>
      <c r="X159" s="5" t="str">
        <f aca="false">IF($C159=W$1,$F159,"")</f>
        <v/>
      </c>
      <c r="Y159" s="6" t="str">
        <f aca="false">IF($C159=Y$1,$K159,"")</f>
        <v/>
      </c>
      <c r="Z159" s="5" t="str">
        <f aca="false">IF($C159=Y$1,$F159,"")</f>
        <v/>
      </c>
      <c r="AA159" s="6" t="str">
        <f aca="false">IF($C159=AA$1,$K159,"")</f>
        <v/>
      </c>
      <c r="AB159" s="5" t="str">
        <f aca="false">IF($C159=AA$1,$F159,"")</f>
        <v/>
      </c>
      <c r="AC159" s="6" t="str">
        <f aca="false">IF($C159=AC$1,$K159,"")</f>
        <v/>
      </c>
      <c r="AD159" s="5" t="str">
        <f aca="false">IF($C159=AC$1,$F159,"")</f>
        <v/>
      </c>
      <c r="AE159" s="6" t="str">
        <f aca="false">IF($C159=AE$1,$K159,"")</f>
        <v/>
      </c>
      <c r="AF159" s="5" t="str">
        <f aca="false">IF($C159=AE$1,$F159,"")</f>
        <v/>
      </c>
      <c r="AG159" s="6" t="str">
        <f aca="false">IF($C159=AG$1,$K159,"")</f>
        <v/>
      </c>
      <c r="AH159" s="5" t="str">
        <f aca="false">IF($C159=AG$1,$F159,"")</f>
        <v/>
      </c>
      <c r="AI159" s="6" t="str">
        <f aca="false">IF($C159=AI$1,$K159,"")</f>
        <v/>
      </c>
      <c r="AJ159" s="5" t="str">
        <f aca="false">IF($C159=AI$1,$F159,"")</f>
        <v/>
      </c>
      <c r="AK159" s="6" t="str">
        <f aca="false">IF($C159=AK$1,$K159,"")</f>
        <v/>
      </c>
      <c r="AL159" s="5" t="str">
        <f aca="false">IF($C159=AK$1,$F159,"")</f>
        <v/>
      </c>
      <c r="AM159" s="6" t="str">
        <f aca="false">IF($C159=AM$1,$K159,"")</f>
        <v/>
      </c>
      <c r="AN159" s="5" t="str">
        <f aca="false">IF($C159=AM$1,$F159,"")</f>
        <v/>
      </c>
      <c r="AO159" s="6" t="str">
        <f aca="false">IF($C159=AO$1,$K159,"")</f>
        <v/>
      </c>
      <c r="AP159" s="5" t="str">
        <f aca="false">IF($C159=AO$1,$F159,"")</f>
        <v/>
      </c>
      <c r="AQ159" s="5" t="n">
        <f aca="false">IF($F159="",0,IF($D159=AQ$1,$F159,0))</f>
        <v>0</v>
      </c>
      <c r="AR159" s="6" t="n">
        <f aca="false">IF($D159=AQ$1,N($K159)-N($L159)-N($O159),0)</f>
        <v>0</v>
      </c>
      <c r="AS159" s="5" t="n">
        <f aca="false">IF($F159="",0,IF($D159=AS$1,$F159,0))</f>
        <v>0</v>
      </c>
      <c r="AT159" s="6" t="n">
        <f aca="false">IF($D159=AS$1,N($K159)-N($L159)-N($O159),0)</f>
        <v>0</v>
      </c>
      <c r="AU159" s="5" t="n">
        <f aca="false">IF(N($J159)&gt;0,N($F159),0)</f>
        <v>0</v>
      </c>
      <c r="AV159" s="6" t="n">
        <f aca="false">IF(N($J159)&gt;0,$F159*$J159,0)</f>
        <v>0</v>
      </c>
    </row>
    <row r="160" customFormat="false" ht="15" hidden="false" customHeight="false" outlineLevel="0" collapsed="false">
      <c r="A160" s="16"/>
      <c r="B160" s="4"/>
      <c r="C160" s="4"/>
      <c r="D160" s="4"/>
      <c r="E160" s="4" t="n">
        <f aca="false">E159+1</f>
        <v>158</v>
      </c>
      <c r="F160" s="5"/>
      <c r="G160" s="6"/>
      <c r="H160" s="6"/>
      <c r="I160" s="6"/>
      <c r="J160" s="6"/>
      <c r="K160" s="6" t="str">
        <f aca="false">IF($F160="","",$F160*$H160)</f>
        <v/>
      </c>
      <c r="L160" s="6" t="n">
        <f aca="false">IFERROR(ROUND($F160*$G160,-1),"")</f>
        <v>0</v>
      </c>
      <c r="M160" s="4"/>
      <c r="N160" s="5" t="str">
        <f aca="false">IF($F160="","",IF(N($I160)&gt;0,$F160,0))</f>
        <v/>
      </c>
      <c r="O160" s="6" t="str">
        <f aca="false">IF($F160="","",N($N160)*N($I160))</f>
        <v/>
      </c>
      <c r="P160" s="6" t="str">
        <f aca="false">IF(OR($C160=P$1,$C160="Titan Rocks"),$K160,"")</f>
        <v/>
      </c>
      <c r="Q160" s="6" t="str">
        <f aca="false">IF($C160=Q$1,$K160,"")</f>
        <v/>
      </c>
      <c r="R160" s="5" t="str">
        <f aca="false">IF($C160=Q$1,$F160,"")</f>
        <v/>
      </c>
      <c r="S160" s="6" t="str">
        <f aca="false">IF($C160=S$1,$K160,"")</f>
        <v/>
      </c>
      <c r="T160" s="5" t="str">
        <f aca="false">IF($C160=S$1,$F160,"")</f>
        <v/>
      </c>
      <c r="U160" s="6" t="str">
        <f aca="false">IF($C160=U$1,$K160,"")</f>
        <v/>
      </c>
      <c r="V160" s="5" t="str">
        <f aca="false">IF($C160=U$1,$F160,"")</f>
        <v/>
      </c>
      <c r="W160" s="6" t="str">
        <f aca="false">IF($C160=W$1,$K160,"")</f>
        <v/>
      </c>
      <c r="X160" s="5" t="str">
        <f aca="false">IF($C160=W$1,$F160,"")</f>
        <v/>
      </c>
      <c r="Y160" s="6" t="str">
        <f aca="false">IF($C160=Y$1,$K160,"")</f>
        <v/>
      </c>
      <c r="Z160" s="5" t="str">
        <f aca="false">IF($C160=Y$1,$F160,"")</f>
        <v/>
      </c>
      <c r="AA160" s="6" t="str">
        <f aca="false">IF($C160=AA$1,$K160,"")</f>
        <v/>
      </c>
      <c r="AB160" s="5" t="str">
        <f aca="false">IF($C160=AA$1,$F160,"")</f>
        <v/>
      </c>
      <c r="AC160" s="6" t="str">
        <f aca="false">IF($C160=AC$1,$K160,"")</f>
        <v/>
      </c>
      <c r="AD160" s="5" t="str">
        <f aca="false">IF($C160=AC$1,$F160,"")</f>
        <v/>
      </c>
      <c r="AE160" s="6" t="str">
        <f aca="false">IF($C160=AE$1,$K160,"")</f>
        <v/>
      </c>
      <c r="AF160" s="5" t="str">
        <f aca="false">IF($C160=AE$1,$F160,"")</f>
        <v/>
      </c>
      <c r="AG160" s="6" t="str">
        <f aca="false">IF($C160=AG$1,$K160,"")</f>
        <v/>
      </c>
      <c r="AH160" s="5" t="str">
        <f aca="false">IF($C160=AG$1,$F160,"")</f>
        <v/>
      </c>
      <c r="AI160" s="6" t="str">
        <f aca="false">IF($C160=AI$1,$K160,"")</f>
        <v/>
      </c>
      <c r="AJ160" s="5" t="str">
        <f aca="false">IF($C160=AI$1,$F160,"")</f>
        <v/>
      </c>
      <c r="AK160" s="6" t="str">
        <f aca="false">IF($C160=AK$1,$K160,"")</f>
        <v/>
      </c>
      <c r="AL160" s="5" t="str">
        <f aca="false">IF($C160=AK$1,$F160,"")</f>
        <v/>
      </c>
      <c r="AM160" s="6" t="str">
        <f aca="false">IF($C160=AM$1,$K160,"")</f>
        <v/>
      </c>
      <c r="AN160" s="5" t="str">
        <f aca="false">IF($C160=AM$1,$F160,"")</f>
        <v/>
      </c>
      <c r="AO160" s="6" t="str">
        <f aca="false">IF($C160=AO$1,$K160,"")</f>
        <v/>
      </c>
      <c r="AP160" s="5" t="str">
        <f aca="false">IF($C160=AO$1,$F160,"")</f>
        <v/>
      </c>
      <c r="AQ160" s="5" t="n">
        <f aca="false">IF($F160="",0,IF($D160=AQ$1,$F160,0))</f>
        <v>0</v>
      </c>
      <c r="AR160" s="6" t="n">
        <f aca="false">IF($D160=AQ$1,N($K160)-N($L160)-N($O160),0)</f>
        <v>0</v>
      </c>
      <c r="AS160" s="5" t="n">
        <f aca="false">IF($F160="",0,IF($D160=AS$1,$F160,0))</f>
        <v>0</v>
      </c>
      <c r="AT160" s="6" t="n">
        <f aca="false">IF($D160=AS$1,N($K160)-N($L160)-N($O160),0)</f>
        <v>0</v>
      </c>
      <c r="AU160" s="5" t="n">
        <f aca="false">IF(N($J160)&gt;0,N($F160),0)</f>
        <v>0</v>
      </c>
      <c r="AV160" s="6" t="n">
        <f aca="false">IF(N($J160)&gt;0,$F160*$J160,0)</f>
        <v>0</v>
      </c>
    </row>
    <row r="161" customFormat="false" ht="15" hidden="false" customHeight="false" outlineLevel="0" collapsed="false">
      <c r="A161" s="16"/>
      <c r="B161" s="4"/>
      <c r="C161" s="4"/>
      <c r="D161" s="4"/>
      <c r="E161" s="4" t="n">
        <f aca="false">E160+1</f>
        <v>159</v>
      </c>
      <c r="F161" s="5"/>
      <c r="G161" s="6"/>
      <c r="H161" s="6"/>
      <c r="I161" s="6"/>
      <c r="J161" s="6"/>
      <c r="K161" s="6" t="str">
        <f aca="false">IF($F161="","",$F161*$H161)</f>
        <v/>
      </c>
      <c r="L161" s="6" t="n">
        <f aca="false">IFERROR(ROUND($F161*$G161,-1),"")</f>
        <v>0</v>
      </c>
      <c r="M161" s="4"/>
      <c r="N161" s="5" t="str">
        <f aca="false">IF($F161="","",IF(N($I161)&gt;0,$F161,0))</f>
        <v/>
      </c>
      <c r="O161" s="6" t="str">
        <f aca="false">IF($F161="","",N($N161)*N($I161))</f>
        <v/>
      </c>
      <c r="P161" s="6" t="str">
        <f aca="false">IF(OR($C161=P$1,$C161="Titan Rocks"),$K161,"")</f>
        <v/>
      </c>
      <c r="Q161" s="6" t="str">
        <f aca="false">IF($C161=Q$1,$K161,"")</f>
        <v/>
      </c>
      <c r="R161" s="5" t="str">
        <f aca="false">IF($C161=Q$1,$F161,"")</f>
        <v/>
      </c>
      <c r="S161" s="6" t="str">
        <f aca="false">IF($C161=S$1,$K161,"")</f>
        <v/>
      </c>
      <c r="T161" s="5" t="str">
        <f aca="false">IF($C161=S$1,$F161,"")</f>
        <v/>
      </c>
      <c r="U161" s="6" t="str">
        <f aca="false">IF($C161=U$1,$K161,"")</f>
        <v/>
      </c>
      <c r="V161" s="5" t="str">
        <f aca="false">IF($C161=U$1,$F161,"")</f>
        <v/>
      </c>
      <c r="W161" s="6" t="str">
        <f aca="false">IF($C161=W$1,$K161,"")</f>
        <v/>
      </c>
      <c r="X161" s="5" t="str">
        <f aca="false">IF($C161=W$1,$F161,"")</f>
        <v/>
      </c>
      <c r="Y161" s="6" t="str">
        <f aca="false">IF($C161=Y$1,$K161,"")</f>
        <v/>
      </c>
      <c r="Z161" s="5" t="str">
        <f aca="false">IF($C161=Y$1,$F161,"")</f>
        <v/>
      </c>
      <c r="AA161" s="6" t="str">
        <f aca="false">IF($C161=AA$1,$K161,"")</f>
        <v/>
      </c>
      <c r="AB161" s="5" t="str">
        <f aca="false">IF($C161=AA$1,$F161,"")</f>
        <v/>
      </c>
      <c r="AC161" s="6" t="str">
        <f aca="false">IF($C161=AC$1,$K161,"")</f>
        <v/>
      </c>
      <c r="AD161" s="5" t="str">
        <f aca="false">IF($C161=AC$1,$F161,"")</f>
        <v/>
      </c>
      <c r="AE161" s="6" t="str">
        <f aca="false">IF($C161=AE$1,$K161,"")</f>
        <v/>
      </c>
      <c r="AF161" s="5" t="str">
        <f aca="false">IF($C161=AE$1,$F161,"")</f>
        <v/>
      </c>
      <c r="AG161" s="6" t="str">
        <f aca="false">IF($C161=AG$1,$K161,"")</f>
        <v/>
      </c>
      <c r="AH161" s="5" t="str">
        <f aca="false">IF($C161=AG$1,$F161,"")</f>
        <v/>
      </c>
      <c r="AI161" s="6" t="str">
        <f aca="false">IF($C161=AI$1,$K161,"")</f>
        <v/>
      </c>
      <c r="AJ161" s="5" t="str">
        <f aca="false">IF($C161=AI$1,$F161,"")</f>
        <v/>
      </c>
      <c r="AK161" s="6" t="str">
        <f aca="false">IF($C161=AK$1,$K161,"")</f>
        <v/>
      </c>
      <c r="AL161" s="5" t="str">
        <f aca="false">IF($C161=AK$1,$F161,"")</f>
        <v/>
      </c>
      <c r="AM161" s="6" t="str">
        <f aca="false">IF($C161=AM$1,$K161,"")</f>
        <v/>
      </c>
      <c r="AN161" s="5" t="str">
        <f aca="false">IF($C161=AM$1,$F161,"")</f>
        <v/>
      </c>
      <c r="AO161" s="6" t="str">
        <f aca="false">IF($C161=AO$1,$K161,"")</f>
        <v/>
      </c>
      <c r="AP161" s="5" t="str">
        <f aca="false">IF($C161=AO$1,$F161,"")</f>
        <v/>
      </c>
      <c r="AQ161" s="5" t="n">
        <f aca="false">IF($F161="",0,IF($D161=AQ$1,$F161,0))</f>
        <v>0</v>
      </c>
      <c r="AR161" s="6" t="n">
        <f aca="false">IF($D161=AQ$1,N($K161)-N($L161)-N($O161),0)</f>
        <v>0</v>
      </c>
      <c r="AS161" s="5" t="n">
        <f aca="false">IF($F161="",0,IF($D161=AS$1,$F161,0))</f>
        <v>0</v>
      </c>
      <c r="AT161" s="6" t="n">
        <f aca="false">IF($D161=AS$1,N($K161)-N($L161)-N($O161),0)</f>
        <v>0</v>
      </c>
      <c r="AU161" s="5" t="n">
        <f aca="false">IF(N($J161)&gt;0,N($F161),0)</f>
        <v>0</v>
      </c>
      <c r="AV161" s="6" t="n">
        <f aca="false">IF(N($J161)&gt;0,$F161*$J161,0)</f>
        <v>0</v>
      </c>
    </row>
    <row r="162" customFormat="false" ht="15" hidden="false" customHeight="false" outlineLevel="0" collapsed="false">
      <c r="A162" s="16"/>
      <c r="B162" s="4"/>
      <c r="C162" s="4"/>
      <c r="D162" s="4"/>
      <c r="E162" s="4" t="n">
        <f aca="false">E161+1</f>
        <v>160</v>
      </c>
      <c r="F162" s="5"/>
      <c r="G162" s="6"/>
      <c r="H162" s="6"/>
      <c r="I162" s="6"/>
      <c r="J162" s="6"/>
      <c r="K162" s="6" t="str">
        <f aca="false">IF($F162="","",$F162*$H162)</f>
        <v/>
      </c>
      <c r="L162" s="6" t="n">
        <f aca="false">IFERROR(ROUND($F162*$G162,-1),"")</f>
        <v>0</v>
      </c>
      <c r="M162" s="4"/>
      <c r="N162" s="5" t="str">
        <f aca="false">IF($F162="","",IF(N($I162)&gt;0,$F162,0))</f>
        <v/>
      </c>
      <c r="O162" s="6" t="str">
        <f aca="false">IF($F162="","",N($N162)*N($I162))</f>
        <v/>
      </c>
      <c r="P162" s="6" t="str">
        <f aca="false">IF(OR($C162=P$1,$C162="Titan Rocks"),$K162,"")</f>
        <v/>
      </c>
      <c r="Q162" s="6" t="str">
        <f aca="false">IF($C162=Q$1,$K162,"")</f>
        <v/>
      </c>
      <c r="R162" s="5" t="str">
        <f aca="false">IF($C162=Q$1,$F162,"")</f>
        <v/>
      </c>
      <c r="S162" s="6" t="str">
        <f aca="false">IF($C162=S$1,$K162,"")</f>
        <v/>
      </c>
      <c r="T162" s="5" t="str">
        <f aca="false">IF($C162=S$1,$F162,"")</f>
        <v/>
      </c>
      <c r="U162" s="6" t="str">
        <f aca="false">IF($C162=U$1,$K162,"")</f>
        <v/>
      </c>
      <c r="V162" s="5" t="str">
        <f aca="false">IF($C162=U$1,$F162,"")</f>
        <v/>
      </c>
      <c r="W162" s="6" t="str">
        <f aca="false">IF($C162=W$1,$K162,"")</f>
        <v/>
      </c>
      <c r="X162" s="5" t="str">
        <f aca="false">IF($C162=W$1,$F162,"")</f>
        <v/>
      </c>
      <c r="Y162" s="6" t="str">
        <f aca="false">IF($C162=Y$1,$K162,"")</f>
        <v/>
      </c>
      <c r="Z162" s="5" t="str">
        <f aca="false">IF($C162=Y$1,$F162,"")</f>
        <v/>
      </c>
      <c r="AA162" s="6" t="str">
        <f aca="false">IF($C162=AA$1,$K162,"")</f>
        <v/>
      </c>
      <c r="AB162" s="5" t="str">
        <f aca="false">IF($C162=AA$1,$F162,"")</f>
        <v/>
      </c>
      <c r="AC162" s="6" t="str">
        <f aca="false">IF($C162=AC$1,$K162,"")</f>
        <v/>
      </c>
      <c r="AD162" s="5" t="str">
        <f aca="false">IF($C162=AC$1,$F162,"")</f>
        <v/>
      </c>
      <c r="AE162" s="6" t="str">
        <f aca="false">IF($C162=AE$1,$K162,"")</f>
        <v/>
      </c>
      <c r="AF162" s="5" t="str">
        <f aca="false">IF($C162=AE$1,$F162,"")</f>
        <v/>
      </c>
      <c r="AG162" s="6" t="str">
        <f aca="false">IF($C162=AG$1,$K162,"")</f>
        <v/>
      </c>
      <c r="AH162" s="5" t="str">
        <f aca="false">IF($C162=AG$1,$F162,"")</f>
        <v/>
      </c>
      <c r="AI162" s="6" t="str">
        <f aca="false">IF($C162=AI$1,$K162,"")</f>
        <v/>
      </c>
      <c r="AJ162" s="5" t="str">
        <f aca="false">IF($C162=AI$1,$F162,"")</f>
        <v/>
      </c>
      <c r="AK162" s="6" t="str">
        <f aca="false">IF($C162=AK$1,$K162,"")</f>
        <v/>
      </c>
      <c r="AL162" s="5" t="str">
        <f aca="false">IF($C162=AK$1,$F162,"")</f>
        <v/>
      </c>
      <c r="AM162" s="6" t="str">
        <f aca="false">IF($C162=AM$1,$K162,"")</f>
        <v/>
      </c>
      <c r="AN162" s="5" t="str">
        <f aca="false">IF($C162=AM$1,$F162,"")</f>
        <v/>
      </c>
      <c r="AO162" s="6" t="str">
        <f aca="false">IF($C162=AO$1,$K162,"")</f>
        <v/>
      </c>
      <c r="AP162" s="5" t="str">
        <f aca="false">IF($C162=AO$1,$F162,"")</f>
        <v/>
      </c>
      <c r="AQ162" s="5" t="n">
        <f aca="false">IF($F162="",0,IF($D162=AQ$1,$F162,0))</f>
        <v>0</v>
      </c>
      <c r="AR162" s="6" t="n">
        <f aca="false">IF($D162=AQ$1,N($K162)-N($L162)-N($O162),0)</f>
        <v>0</v>
      </c>
      <c r="AS162" s="5" t="n">
        <f aca="false">IF($F162="",0,IF($D162=AS$1,$F162,0))</f>
        <v>0</v>
      </c>
      <c r="AT162" s="6" t="n">
        <f aca="false">IF($D162=AS$1,N($K162)-N($L162)-N($O162),0)</f>
        <v>0</v>
      </c>
      <c r="AU162" s="5" t="n">
        <f aca="false">IF(N($J162)&gt;0,N($F162),0)</f>
        <v>0</v>
      </c>
      <c r="AV162" s="6" t="n">
        <f aca="false">IF(N($J162)&gt;0,$F162*$J162,0)</f>
        <v>0</v>
      </c>
    </row>
    <row r="163" customFormat="false" ht="15" hidden="false" customHeight="false" outlineLevel="0" collapsed="false">
      <c r="A163" s="16"/>
      <c r="B163" s="4"/>
      <c r="C163" s="4"/>
      <c r="D163" s="4"/>
      <c r="E163" s="4" t="n">
        <f aca="false">E162+1</f>
        <v>161</v>
      </c>
      <c r="F163" s="5"/>
      <c r="G163" s="6"/>
      <c r="H163" s="6"/>
      <c r="I163" s="6"/>
      <c r="J163" s="6"/>
      <c r="K163" s="6" t="str">
        <f aca="false">IF($F163="","",$F163*$H163)</f>
        <v/>
      </c>
      <c r="L163" s="6" t="n">
        <f aca="false">IFERROR(ROUND($F163*$G163,-1),"")</f>
        <v>0</v>
      </c>
      <c r="M163" s="4"/>
      <c r="N163" s="5" t="str">
        <f aca="false">IF($F163="","",IF(N($I163)&gt;0,$F163,0))</f>
        <v/>
      </c>
      <c r="O163" s="6" t="str">
        <f aca="false">IF($F163="","",N($N163)*N($I163))</f>
        <v/>
      </c>
      <c r="P163" s="6" t="str">
        <f aca="false">IF(OR($C163=P$1,$C163="Titan Rocks"),$K163,"")</f>
        <v/>
      </c>
      <c r="Q163" s="6" t="str">
        <f aca="false">IF($C163=Q$1,$K163,"")</f>
        <v/>
      </c>
      <c r="R163" s="5" t="str">
        <f aca="false">IF($C163=Q$1,$F163,"")</f>
        <v/>
      </c>
      <c r="S163" s="6" t="str">
        <f aca="false">IF($C163=S$1,$K163,"")</f>
        <v/>
      </c>
      <c r="T163" s="5" t="str">
        <f aca="false">IF($C163=S$1,$F163,"")</f>
        <v/>
      </c>
      <c r="U163" s="6" t="str">
        <f aca="false">IF($C163=U$1,$K163,"")</f>
        <v/>
      </c>
      <c r="V163" s="5" t="str">
        <f aca="false">IF($C163=U$1,$F163,"")</f>
        <v/>
      </c>
      <c r="W163" s="6" t="str">
        <f aca="false">IF($C163=W$1,$K163,"")</f>
        <v/>
      </c>
      <c r="X163" s="5" t="str">
        <f aca="false">IF($C163=W$1,$F163,"")</f>
        <v/>
      </c>
      <c r="Y163" s="6" t="str">
        <f aca="false">IF($C163=Y$1,$K163,"")</f>
        <v/>
      </c>
      <c r="Z163" s="5" t="str">
        <f aca="false">IF($C163=Y$1,$F163,"")</f>
        <v/>
      </c>
      <c r="AA163" s="6" t="str">
        <f aca="false">IF($C163=AA$1,$K163,"")</f>
        <v/>
      </c>
      <c r="AB163" s="5" t="str">
        <f aca="false">IF($C163=AA$1,$F163,"")</f>
        <v/>
      </c>
      <c r="AC163" s="6" t="str">
        <f aca="false">IF($C163=AC$1,$K163,"")</f>
        <v/>
      </c>
      <c r="AD163" s="5" t="str">
        <f aca="false">IF($C163=AC$1,$F163,"")</f>
        <v/>
      </c>
      <c r="AE163" s="6" t="str">
        <f aca="false">IF($C163=AE$1,$K163,"")</f>
        <v/>
      </c>
      <c r="AF163" s="5" t="str">
        <f aca="false">IF($C163=AE$1,$F163,"")</f>
        <v/>
      </c>
      <c r="AG163" s="6" t="str">
        <f aca="false">IF($C163=AG$1,$K163,"")</f>
        <v/>
      </c>
      <c r="AH163" s="5" t="str">
        <f aca="false">IF($C163=AG$1,$F163,"")</f>
        <v/>
      </c>
      <c r="AI163" s="6" t="str">
        <f aca="false">IF($C163=AI$1,$K163,"")</f>
        <v/>
      </c>
      <c r="AJ163" s="5" t="str">
        <f aca="false">IF($C163=AI$1,$F163,"")</f>
        <v/>
      </c>
      <c r="AK163" s="6" t="str">
        <f aca="false">IF($C163=AK$1,$K163,"")</f>
        <v/>
      </c>
      <c r="AL163" s="5" t="str">
        <f aca="false">IF($C163=AK$1,$F163,"")</f>
        <v/>
      </c>
      <c r="AM163" s="6" t="str">
        <f aca="false">IF($C163=AM$1,$K163,"")</f>
        <v/>
      </c>
      <c r="AN163" s="5" t="str">
        <f aca="false">IF($C163=AM$1,$F163,"")</f>
        <v/>
      </c>
      <c r="AO163" s="6" t="str">
        <f aca="false">IF($C163=AO$1,$K163,"")</f>
        <v/>
      </c>
      <c r="AP163" s="5" t="str">
        <f aca="false">IF($C163=AO$1,$F163,"")</f>
        <v/>
      </c>
      <c r="AQ163" s="5" t="n">
        <f aca="false">IF($F163="",0,IF($D163=AQ$1,$F163,0))</f>
        <v>0</v>
      </c>
      <c r="AR163" s="6" t="n">
        <f aca="false">IF($D163=AQ$1,N($K163)-N($L163)-N($O163),0)</f>
        <v>0</v>
      </c>
      <c r="AS163" s="5" t="n">
        <f aca="false">IF($F163="",0,IF($D163=AS$1,$F163,0))</f>
        <v>0</v>
      </c>
      <c r="AT163" s="6" t="n">
        <f aca="false">IF($D163=AS$1,N($K163)-N($L163)-N($O163),0)</f>
        <v>0</v>
      </c>
      <c r="AU163" s="5" t="n">
        <f aca="false">IF(N($J163)&gt;0,N($F163),0)</f>
        <v>0</v>
      </c>
      <c r="AV163" s="6" t="n">
        <f aca="false">IF(N($J163)&gt;0,$F163*$J163,0)</f>
        <v>0</v>
      </c>
    </row>
    <row r="164" customFormat="false" ht="15" hidden="false" customHeight="false" outlineLevel="0" collapsed="false">
      <c r="A164" s="16"/>
      <c r="B164" s="4"/>
      <c r="C164" s="4"/>
      <c r="D164" s="4"/>
      <c r="E164" s="4" t="n">
        <f aca="false">E163+1</f>
        <v>162</v>
      </c>
      <c r="F164" s="5"/>
      <c r="G164" s="6"/>
      <c r="H164" s="6"/>
      <c r="I164" s="6"/>
      <c r="J164" s="6"/>
      <c r="K164" s="6" t="str">
        <f aca="false">IF($F164="","",$F164*$H164)</f>
        <v/>
      </c>
      <c r="L164" s="6" t="n">
        <f aca="false">IFERROR(ROUND($F164*$G164,-1),"")</f>
        <v>0</v>
      </c>
      <c r="M164" s="4"/>
      <c r="N164" s="5" t="str">
        <f aca="false">IF($F164="","",IF(N($I164)&gt;0,$F164,0))</f>
        <v/>
      </c>
      <c r="O164" s="6" t="str">
        <f aca="false">IF($F164="","",N($N164)*N($I164))</f>
        <v/>
      </c>
      <c r="P164" s="6" t="str">
        <f aca="false">IF(OR($C164=P$1,$C164="Titan Rocks"),$K164,"")</f>
        <v/>
      </c>
      <c r="Q164" s="6" t="str">
        <f aca="false">IF($C164=Q$1,$K164,"")</f>
        <v/>
      </c>
      <c r="R164" s="5" t="str">
        <f aca="false">IF($C164=Q$1,$F164,"")</f>
        <v/>
      </c>
      <c r="S164" s="6" t="str">
        <f aca="false">IF($C164=S$1,$K164,"")</f>
        <v/>
      </c>
      <c r="T164" s="5" t="str">
        <f aca="false">IF($C164=S$1,$F164,"")</f>
        <v/>
      </c>
      <c r="U164" s="6" t="str">
        <f aca="false">IF($C164=U$1,$K164,"")</f>
        <v/>
      </c>
      <c r="V164" s="5" t="str">
        <f aca="false">IF($C164=U$1,$F164,"")</f>
        <v/>
      </c>
      <c r="W164" s="6" t="str">
        <f aca="false">IF($C164=W$1,$K164,"")</f>
        <v/>
      </c>
      <c r="X164" s="5" t="str">
        <f aca="false">IF($C164=W$1,$F164,"")</f>
        <v/>
      </c>
      <c r="Y164" s="6" t="str">
        <f aca="false">IF($C164=Y$1,$K164,"")</f>
        <v/>
      </c>
      <c r="Z164" s="5" t="str">
        <f aca="false">IF($C164=Y$1,$F164,"")</f>
        <v/>
      </c>
      <c r="AA164" s="6" t="str">
        <f aca="false">IF($C164=AA$1,$K164,"")</f>
        <v/>
      </c>
      <c r="AB164" s="5" t="str">
        <f aca="false">IF($C164=AA$1,$F164,"")</f>
        <v/>
      </c>
      <c r="AC164" s="6" t="str">
        <f aca="false">IF($C164=AC$1,$K164,"")</f>
        <v/>
      </c>
      <c r="AD164" s="5" t="str">
        <f aca="false">IF($C164=AC$1,$F164,"")</f>
        <v/>
      </c>
      <c r="AE164" s="6" t="str">
        <f aca="false">IF($C164=AE$1,$K164,"")</f>
        <v/>
      </c>
      <c r="AF164" s="5" t="str">
        <f aca="false">IF($C164=AE$1,$F164,"")</f>
        <v/>
      </c>
      <c r="AG164" s="6" t="str">
        <f aca="false">IF($C164=AG$1,$K164,"")</f>
        <v/>
      </c>
      <c r="AH164" s="5" t="str">
        <f aca="false">IF($C164=AG$1,$F164,"")</f>
        <v/>
      </c>
      <c r="AI164" s="6" t="str">
        <f aca="false">IF($C164=AI$1,$K164,"")</f>
        <v/>
      </c>
      <c r="AJ164" s="5" t="str">
        <f aca="false">IF($C164=AI$1,$F164,"")</f>
        <v/>
      </c>
      <c r="AK164" s="6" t="str">
        <f aca="false">IF($C164=AK$1,$K164,"")</f>
        <v/>
      </c>
      <c r="AL164" s="5" t="str">
        <f aca="false">IF($C164=AK$1,$F164,"")</f>
        <v/>
      </c>
      <c r="AM164" s="6" t="str">
        <f aca="false">IF($C164=AM$1,$K164,"")</f>
        <v/>
      </c>
      <c r="AN164" s="5" t="str">
        <f aca="false">IF($C164=AM$1,$F164,"")</f>
        <v/>
      </c>
      <c r="AO164" s="6" t="str">
        <f aca="false">IF($C164=AO$1,$K164,"")</f>
        <v/>
      </c>
      <c r="AP164" s="5" t="str">
        <f aca="false">IF($C164=AO$1,$F164,"")</f>
        <v/>
      </c>
      <c r="AQ164" s="5" t="n">
        <f aca="false">IF($F164="",0,IF($D164=AQ$1,$F164,0))</f>
        <v>0</v>
      </c>
      <c r="AR164" s="6" t="n">
        <f aca="false">IF($D164=AQ$1,N($K164)-N($L164)-N($O164),0)</f>
        <v>0</v>
      </c>
      <c r="AS164" s="5" t="n">
        <f aca="false">IF($F164="",0,IF($D164=AS$1,$F164,0))</f>
        <v>0</v>
      </c>
      <c r="AT164" s="6" t="n">
        <f aca="false">IF($D164=AS$1,N($K164)-N($L164)-N($O164),0)</f>
        <v>0</v>
      </c>
      <c r="AU164" s="5" t="n">
        <f aca="false">IF(N($J164)&gt;0,N($F164),0)</f>
        <v>0</v>
      </c>
      <c r="AV164" s="6" t="n">
        <f aca="false">IF(N($J164)&gt;0,$F164*$J164,0)</f>
        <v>0</v>
      </c>
    </row>
    <row r="165" customFormat="false" ht="15" hidden="false" customHeight="false" outlineLevel="0" collapsed="false">
      <c r="A165" s="16"/>
      <c r="B165" s="4"/>
      <c r="C165" s="4"/>
      <c r="D165" s="4"/>
      <c r="E165" s="4" t="n">
        <f aca="false">E164+1</f>
        <v>163</v>
      </c>
      <c r="F165" s="5"/>
      <c r="G165" s="6"/>
      <c r="H165" s="6"/>
      <c r="I165" s="6"/>
      <c r="J165" s="6"/>
      <c r="K165" s="6" t="str">
        <f aca="false">IF($F165="","",$F165*$H165)</f>
        <v/>
      </c>
      <c r="L165" s="6" t="n">
        <f aca="false">IFERROR(ROUND($F165*$G165,-1),"")</f>
        <v>0</v>
      </c>
      <c r="M165" s="4"/>
      <c r="N165" s="5" t="str">
        <f aca="false">IF($F165="","",IF(N($I165)&gt;0,$F165,0))</f>
        <v/>
      </c>
      <c r="O165" s="6" t="str">
        <f aca="false">IF($F165="","",N($N165)*N($I165))</f>
        <v/>
      </c>
      <c r="P165" s="6" t="str">
        <f aca="false">IF(OR($C165=P$1,$C165="Titan Rocks"),$K165,"")</f>
        <v/>
      </c>
      <c r="Q165" s="6" t="str">
        <f aca="false">IF($C165=Q$1,$K165,"")</f>
        <v/>
      </c>
      <c r="R165" s="5" t="str">
        <f aca="false">IF($C165=Q$1,$F165,"")</f>
        <v/>
      </c>
      <c r="S165" s="6" t="str">
        <f aca="false">IF($C165=S$1,$K165,"")</f>
        <v/>
      </c>
      <c r="T165" s="5" t="str">
        <f aca="false">IF($C165=S$1,$F165,"")</f>
        <v/>
      </c>
      <c r="U165" s="6" t="str">
        <f aca="false">IF($C165=U$1,$K165,"")</f>
        <v/>
      </c>
      <c r="V165" s="5" t="str">
        <f aca="false">IF($C165=U$1,$F165,"")</f>
        <v/>
      </c>
      <c r="W165" s="6" t="str">
        <f aca="false">IF($C165=W$1,$K165,"")</f>
        <v/>
      </c>
      <c r="X165" s="5" t="str">
        <f aca="false">IF($C165=W$1,$F165,"")</f>
        <v/>
      </c>
      <c r="Y165" s="6" t="str">
        <f aca="false">IF($C165=Y$1,$K165,"")</f>
        <v/>
      </c>
      <c r="Z165" s="5" t="str">
        <f aca="false">IF($C165=Y$1,$F165,"")</f>
        <v/>
      </c>
      <c r="AA165" s="6" t="str">
        <f aca="false">IF($C165=AA$1,$K165,"")</f>
        <v/>
      </c>
      <c r="AB165" s="5" t="str">
        <f aca="false">IF($C165=AA$1,$F165,"")</f>
        <v/>
      </c>
      <c r="AC165" s="6" t="str">
        <f aca="false">IF($C165=AC$1,$K165,"")</f>
        <v/>
      </c>
      <c r="AD165" s="5" t="str">
        <f aca="false">IF($C165=AC$1,$F165,"")</f>
        <v/>
      </c>
      <c r="AE165" s="6" t="str">
        <f aca="false">IF($C165=AE$1,$K165,"")</f>
        <v/>
      </c>
      <c r="AF165" s="5" t="str">
        <f aca="false">IF($C165=AE$1,$F165,"")</f>
        <v/>
      </c>
      <c r="AG165" s="6" t="str">
        <f aca="false">IF($C165=AG$1,$K165,"")</f>
        <v/>
      </c>
      <c r="AH165" s="5" t="str">
        <f aca="false">IF($C165=AG$1,$F165,"")</f>
        <v/>
      </c>
      <c r="AI165" s="6" t="str">
        <f aca="false">IF($C165=AI$1,$K165,"")</f>
        <v/>
      </c>
      <c r="AJ165" s="5" t="str">
        <f aca="false">IF($C165=AI$1,$F165,"")</f>
        <v/>
      </c>
      <c r="AK165" s="6" t="str">
        <f aca="false">IF($C165=AK$1,$K165,"")</f>
        <v/>
      </c>
      <c r="AL165" s="5" t="str">
        <f aca="false">IF($C165=AK$1,$F165,"")</f>
        <v/>
      </c>
      <c r="AM165" s="6" t="str">
        <f aca="false">IF($C165=AM$1,$K165,"")</f>
        <v/>
      </c>
      <c r="AN165" s="5" t="str">
        <f aca="false">IF($C165=AM$1,$F165,"")</f>
        <v/>
      </c>
      <c r="AO165" s="6" t="str">
        <f aca="false">IF($C165=AO$1,$K165,"")</f>
        <v/>
      </c>
      <c r="AP165" s="5" t="str">
        <f aca="false">IF($C165=AO$1,$F165,"")</f>
        <v/>
      </c>
      <c r="AQ165" s="5" t="n">
        <f aca="false">IF($F165="",0,IF($D165=AQ$1,$F165,0))</f>
        <v>0</v>
      </c>
      <c r="AR165" s="6" t="n">
        <f aca="false">IF($D165=AQ$1,N($K165)-N($L165)-N($O165),0)</f>
        <v>0</v>
      </c>
      <c r="AS165" s="5" t="n">
        <f aca="false">IF($F165="",0,IF($D165=AS$1,$F165,0))</f>
        <v>0</v>
      </c>
      <c r="AT165" s="6" t="n">
        <f aca="false">IF($D165=AS$1,N($K165)-N($L165)-N($O165),0)</f>
        <v>0</v>
      </c>
      <c r="AU165" s="5" t="n">
        <f aca="false">IF(N($J165)&gt;0,N($F165),0)</f>
        <v>0</v>
      </c>
      <c r="AV165" s="6" t="n">
        <f aca="false">IF(N($J165)&gt;0,$F165*$J165,0)</f>
        <v>0</v>
      </c>
    </row>
    <row r="166" customFormat="false" ht="15" hidden="false" customHeight="false" outlineLevel="0" collapsed="false">
      <c r="A166" s="16"/>
      <c r="B166" s="4"/>
      <c r="C166" s="4"/>
      <c r="D166" s="4"/>
      <c r="E166" s="4" t="n">
        <f aca="false">E165+1</f>
        <v>164</v>
      </c>
      <c r="F166" s="5"/>
      <c r="G166" s="6"/>
      <c r="H166" s="6"/>
      <c r="I166" s="6"/>
      <c r="J166" s="6"/>
      <c r="K166" s="6" t="str">
        <f aca="false">IF($F166="","",$F166*$H166)</f>
        <v/>
      </c>
      <c r="L166" s="6" t="n">
        <f aca="false">IFERROR(ROUND($F166*$G166,-1),"")</f>
        <v>0</v>
      </c>
      <c r="M166" s="4"/>
      <c r="N166" s="5" t="str">
        <f aca="false">IF($F166="","",IF(N($I166)&gt;0,$F166,0))</f>
        <v/>
      </c>
      <c r="O166" s="6" t="str">
        <f aca="false">IF($F166="","",N($N166)*N($I166))</f>
        <v/>
      </c>
      <c r="P166" s="6" t="str">
        <f aca="false">IF(OR($C166=P$1,$C166="Titan Rocks"),$K166,"")</f>
        <v/>
      </c>
      <c r="Q166" s="6" t="str">
        <f aca="false">IF($C166=Q$1,$K166,"")</f>
        <v/>
      </c>
      <c r="R166" s="5" t="str">
        <f aca="false">IF($C166=Q$1,$F166,"")</f>
        <v/>
      </c>
      <c r="S166" s="6" t="str">
        <f aca="false">IF($C166=S$1,$K166,"")</f>
        <v/>
      </c>
      <c r="T166" s="5" t="str">
        <f aca="false">IF($C166=S$1,$F166,"")</f>
        <v/>
      </c>
      <c r="U166" s="6" t="str">
        <f aca="false">IF($C166=U$1,$K166,"")</f>
        <v/>
      </c>
      <c r="V166" s="5" t="str">
        <f aca="false">IF($C166=U$1,$F166,"")</f>
        <v/>
      </c>
      <c r="W166" s="6" t="str">
        <f aca="false">IF($C166=W$1,$K166,"")</f>
        <v/>
      </c>
      <c r="X166" s="5" t="str">
        <f aca="false">IF($C166=W$1,$F166,"")</f>
        <v/>
      </c>
      <c r="Y166" s="6" t="str">
        <f aca="false">IF($C166=Y$1,$K166,"")</f>
        <v/>
      </c>
      <c r="Z166" s="5" t="str">
        <f aca="false">IF($C166=Y$1,$F166,"")</f>
        <v/>
      </c>
      <c r="AA166" s="6" t="str">
        <f aca="false">IF($C166=AA$1,$K166,"")</f>
        <v/>
      </c>
      <c r="AB166" s="5" t="str">
        <f aca="false">IF($C166=AA$1,$F166,"")</f>
        <v/>
      </c>
      <c r="AC166" s="6" t="str">
        <f aca="false">IF($C166=AC$1,$K166,"")</f>
        <v/>
      </c>
      <c r="AD166" s="5" t="str">
        <f aca="false">IF($C166=AC$1,$F166,"")</f>
        <v/>
      </c>
      <c r="AE166" s="6" t="str">
        <f aca="false">IF($C166=AE$1,$K166,"")</f>
        <v/>
      </c>
      <c r="AF166" s="5" t="str">
        <f aca="false">IF($C166=AE$1,$F166,"")</f>
        <v/>
      </c>
      <c r="AG166" s="6" t="str">
        <f aca="false">IF($C166=AG$1,$K166,"")</f>
        <v/>
      </c>
      <c r="AH166" s="5" t="str">
        <f aca="false">IF($C166=AG$1,$F166,"")</f>
        <v/>
      </c>
      <c r="AI166" s="6" t="str">
        <f aca="false">IF($C166=AI$1,$K166,"")</f>
        <v/>
      </c>
      <c r="AJ166" s="5" t="str">
        <f aca="false">IF($C166=AI$1,$F166,"")</f>
        <v/>
      </c>
      <c r="AK166" s="6" t="str">
        <f aca="false">IF($C166=AK$1,$K166,"")</f>
        <v/>
      </c>
      <c r="AL166" s="5" t="str">
        <f aca="false">IF($C166=AK$1,$F166,"")</f>
        <v/>
      </c>
      <c r="AM166" s="6" t="str">
        <f aca="false">IF($C166=AM$1,$K166,"")</f>
        <v/>
      </c>
      <c r="AN166" s="5" t="str">
        <f aca="false">IF($C166=AM$1,$F166,"")</f>
        <v/>
      </c>
      <c r="AO166" s="6" t="str">
        <f aca="false">IF($C166=AO$1,$K166,"")</f>
        <v/>
      </c>
      <c r="AP166" s="5" t="str">
        <f aca="false">IF($C166=AO$1,$F166,"")</f>
        <v/>
      </c>
      <c r="AQ166" s="5" t="n">
        <f aca="false">IF($F166="",0,IF($D166=AQ$1,$F166,0))</f>
        <v>0</v>
      </c>
      <c r="AR166" s="6" t="n">
        <f aca="false">IF($D166=AQ$1,N($K166)-N($L166)-N($O166),0)</f>
        <v>0</v>
      </c>
      <c r="AS166" s="5" t="n">
        <f aca="false">IF($F166="",0,IF($D166=AS$1,$F166,0))</f>
        <v>0</v>
      </c>
      <c r="AT166" s="6" t="n">
        <f aca="false">IF($D166=AS$1,N($K166)-N($L166)-N($O166),0)</f>
        <v>0</v>
      </c>
      <c r="AU166" s="5" t="n">
        <f aca="false">IF(N($J166)&gt;0,N($F166),0)</f>
        <v>0</v>
      </c>
      <c r="AV166" s="6" t="n">
        <f aca="false">IF(N($J166)&gt;0,$F166*$J166,0)</f>
        <v>0</v>
      </c>
    </row>
    <row r="167" customFormat="false" ht="15" hidden="false" customHeight="false" outlineLevel="0" collapsed="false">
      <c r="A167" s="16"/>
      <c r="B167" s="4"/>
      <c r="C167" s="4"/>
      <c r="D167" s="4"/>
      <c r="E167" s="4" t="n">
        <f aca="false">E166+1</f>
        <v>165</v>
      </c>
      <c r="F167" s="5"/>
      <c r="G167" s="6"/>
      <c r="H167" s="6"/>
      <c r="I167" s="6"/>
      <c r="J167" s="6"/>
      <c r="K167" s="6" t="str">
        <f aca="false">IF($F167="","",$F167*$H167)</f>
        <v/>
      </c>
      <c r="L167" s="6" t="n">
        <f aca="false">IFERROR(ROUND($F167*$G167,-1),"")</f>
        <v>0</v>
      </c>
      <c r="M167" s="4"/>
      <c r="N167" s="5" t="str">
        <f aca="false">IF($F167="","",IF(N($I167)&gt;0,$F167,0))</f>
        <v/>
      </c>
      <c r="O167" s="6" t="str">
        <f aca="false">IF($F167="","",N($N167)*N($I167))</f>
        <v/>
      </c>
      <c r="P167" s="6" t="str">
        <f aca="false">IF(OR($C167=P$1,$C167="Titan Rocks"),$K167,"")</f>
        <v/>
      </c>
      <c r="Q167" s="6" t="str">
        <f aca="false">IF($C167=Q$1,$K167,"")</f>
        <v/>
      </c>
      <c r="R167" s="5" t="str">
        <f aca="false">IF($C167=Q$1,$F167,"")</f>
        <v/>
      </c>
      <c r="S167" s="6" t="str">
        <f aca="false">IF($C167=S$1,$K167,"")</f>
        <v/>
      </c>
      <c r="T167" s="5" t="str">
        <f aca="false">IF($C167=S$1,$F167,"")</f>
        <v/>
      </c>
      <c r="U167" s="6" t="str">
        <f aca="false">IF($C167=U$1,$K167,"")</f>
        <v/>
      </c>
      <c r="V167" s="5" t="str">
        <f aca="false">IF($C167=U$1,$F167,"")</f>
        <v/>
      </c>
      <c r="W167" s="6" t="str">
        <f aca="false">IF($C167=W$1,$K167,"")</f>
        <v/>
      </c>
      <c r="X167" s="5" t="str">
        <f aca="false">IF($C167=W$1,$F167,"")</f>
        <v/>
      </c>
      <c r="Y167" s="6" t="str">
        <f aca="false">IF($C167=Y$1,$K167,"")</f>
        <v/>
      </c>
      <c r="Z167" s="5" t="str">
        <f aca="false">IF($C167=Y$1,$F167,"")</f>
        <v/>
      </c>
      <c r="AA167" s="6" t="str">
        <f aca="false">IF($C167=AA$1,$K167,"")</f>
        <v/>
      </c>
      <c r="AB167" s="5" t="str">
        <f aca="false">IF($C167=AA$1,$F167,"")</f>
        <v/>
      </c>
      <c r="AC167" s="6" t="str">
        <f aca="false">IF($C167=AC$1,$K167,"")</f>
        <v/>
      </c>
      <c r="AD167" s="5" t="str">
        <f aca="false">IF($C167=AC$1,$F167,"")</f>
        <v/>
      </c>
      <c r="AE167" s="6" t="str">
        <f aca="false">IF($C167=AE$1,$K167,"")</f>
        <v/>
      </c>
      <c r="AF167" s="5" t="str">
        <f aca="false">IF($C167=AE$1,$F167,"")</f>
        <v/>
      </c>
      <c r="AG167" s="6" t="str">
        <f aca="false">IF($C167=AG$1,$K167,"")</f>
        <v/>
      </c>
      <c r="AH167" s="5" t="str">
        <f aca="false">IF($C167=AG$1,$F167,"")</f>
        <v/>
      </c>
      <c r="AI167" s="6" t="str">
        <f aca="false">IF($C167=AI$1,$K167,"")</f>
        <v/>
      </c>
      <c r="AJ167" s="5" t="str">
        <f aca="false">IF($C167=AI$1,$F167,"")</f>
        <v/>
      </c>
      <c r="AK167" s="6" t="str">
        <f aca="false">IF($C167=AK$1,$K167,"")</f>
        <v/>
      </c>
      <c r="AL167" s="5" t="str">
        <f aca="false">IF($C167=AK$1,$F167,"")</f>
        <v/>
      </c>
      <c r="AM167" s="6" t="str">
        <f aca="false">IF($C167=AM$1,$K167,"")</f>
        <v/>
      </c>
      <c r="AN167" s="5" t="str">
        <f aca="false">IF($C167=AM$1,$F167,"")</f>
        <v/>
      </c>
      <c r="AO167" s="6" t="str">
        <f aca="false">IF($C167=AO$1,$K167,"")</f>
        <v/>
      </c>
      <c r="AP167" s="5" t="str">
        <f aca="false">IF($C167=AO$1,$F167,"")</f>
        <v/>
      </c>
      <c r="AQ167" s="5" t="n">
        <f aca="false">IF($F167="",0,IF($D167=AQ$1,$F167,0))</f>
        <v>0</v>
      </c>
      <c r="AR167" s="6" t="n">
        <f aca="false">IF($D167=AQ$1,N($K167)-N($L167)-N($O167),0)</f>
        <v>0</v>
      </c>
      <c r="AS167" s="5" t="n">
        <f aca="false">IF($F167="",0,IF($D167=AS$1,$F167,0))</f>
        <v>0</v>
      </c>
      <c r="AT167" s="6" t="n">
        <f aca="false">IF($D167=AS$1,N($K167)-N($L167)-N($O167),0)</f>
        <v>0</v>
      </c>
      <c r="AU167" s="5" t="n">
        <f aca="false">IF(N($J167)&gt;0,N($F167),0)</f>
        <v>0</v>
      </c>
      <c r="AV167" s="6" t="n">
        <f aca="false">IF(N($J167)&gt;0,$F167*$J167,0)</f>
        <v>0</v>
      </c>
    </row>
    <row r="168" customFormat="false" ht="15" hidden="false" customHeight="false" outlineLevel="0" collapsed="false">
      <c r="A168" s="16"/>
      <c r="B168" s="4"/>
      <c r="C168" s="4"/>
      <c r="D168" s="4"/>
      <c r="E168" s="4" t="n">
        <f aca="false">E167+1</f>
        <v>166</v>
      </c>
      <c r="F168" s="5"/>
      <c r="G168" s="6"/>
      <c r="H168" s="6"/>
      <c r="I168" s="6"/>
      <c r="J168" s="6"/>
      <c r="K168" s="6" t="str">
        <f aca="false">IF($F168="","",$F168*$H168)</f>
        <v/>
      </c>
      <c r="L168" s="6" t="n">
        <f aca="false">IFERROR(ROUND($F168*$G168,-1),"")</f>
        <v>0</v>
      </c>
      <c r="M168" s="4"/>
      <c r="N168" s="5" t="str">
        <f aca="false">IF($F168="","",IF(N($I168)&gt;0,$F168,0))</f>
        <v/>
      </c>
      <c r="O168" s="6" t="str">
        <f aca="false">IF($F168="","",N($N168)*N($I168))</f>
        <v/>
      </c>
      <c r="P168" s="6" t="str">
        <f aca="false">IF(OR($C168=P$1,$C168="Titan Rocks"),$K168,"")</f>
        <v/>
      </c>
      <c r="Q168" s="6" t="str">
        <f aca="false">IF($C168=Q$1,$K168,"")</f>
        <v/>
      </c>
      <c r="R168" s="5" t="str">
        <f aca="false">IF($C168=Q$1,$F168,"")</f>
        <v/>
      </c>
      <c r="S168" s="6" t="str">
        <f aca="false">IF($C168=S$1,$K168,"")</f>
        <v/>
      </c>
      <c r="T168" s="5" t="str">
        <f aca="false">IF($C168=S$1,$F168,"")</f>
        <v/>
      </c>
      <c r="U168" s="6" t="str">
        <f aca="false">IF($C168=U$1,$K168,"")</f>
        <v/>
      </c>
      <c r="V168" s="5" t="str">
        <f aca="false">IF($C168=U$1,$F168,"")</f>
        <v/>
      </c>
      <c r="W168" s="6" t="str">
        <f aca="false">IF($C168=W$1,$K168,"")</f>
        <v/>
      </c>
      <c r="X168" s="5" t="str">
        <f aca="false">IF($C168=W$1,$F168,"")</f>
        <v/>
      </c>
      <c r="Y168" s="6" t="str">
        <f aca="false">IF($C168=Y$1,$K168,"")</f>
        <v/>
      </c>
      <c r="Z168" s="5" t="str">
        <f aca="false">IF($C168=Y$1,$F168,"")</f>
        <v/>
      </c>
      <c r="AA168" s="6" t="str">
        <f aca="false">IF($C168=AA$1,$K168,"")</f>
        <v/>
      </c>
      <c r="AB168" s="5" t="str">
        <f aca="false">IF($C168=AA$1,$F168,"")</f>
        <v/>
      </c>
      <c r="AC168" s="6" t="str">
        <f aca="false">IF($C168=AC$1,$K168,"")</f>
        <v/>
      </c>
      <c r="AD168" s="5" t="str">
        <f aca="false">IF($C168=AC$1,$F168,"")</f>
        <v/>
      </c>
      <c r="AE168" s="6" t="str">
        <f aca="false">IF($C168=AE$1,$K168,"")</f>
        <v/>
      </c>
      <c r="AF168" s="5" t="str">
        <f aca="false">IF($C168=AE$1,$F168,"")</f>
        <v/>
      </c>
      <c r="AG168" s="6" t="str">
        <f aca="false">IF($C168=AG$1,$K168,"")</f>
        <v/>
      </c>
      <c r="AH168" s="5" t="str">
        <f aca="false">IF($C168=AG$1,$F168,"")</f>
        <v/>
      </c>
      <c r="AI168" s="6" t="str">
        <f aca="false">IF($C168=AI$1,$K168,"")</f>
        <v/>
      </c>
      <c r="AJ168" s="5" t="str">
        <f aca="false">IF($C168=AI$1,$F168,"")</f>
        <v/>
      </c>
      <c r="AK168" s="6" t="str">
        <f aca="false">IF($C168=AK$1,$K168,"")</f>
        <v/>
      </c>
      <c r="AL168" s="5" t="str">
        <f aca="false">IF($C168=AK$1,$F168,"")</f>
        <v/>
      </c>
      <c r="AM168" s="6" t="str">
        <f aca="false">IF($C168=AM$1,$K168,"")</f>
        <v/>
      </c>
      <c r="AN168" s="5" t="str">
        <f aca="false">IF($C168=AM$1,$F168,"")</f>
        <v/>
      </c>
      <c r="AO168" s="6" t="str">
        <f aca="false">IF($C168=AO$1,$K168,"")</f>
        <v/>
      </c>
      <c r="AP168" s="5" t="str">
        <f aca="false">IF($C168=AO$1,$F168,"")</f>
        <v/>
      </c>
      <c r="AQ168" s="5" t="n">
        <f aca="false">IF($F168="",0,IF($D168=AQ$1,$F168,0))</f>
        <v>0</v>
      </c>
      <c r="AR168" s="6" t="n">
        <f aca="false">IF($D168=AQ$1,N($K168)-N($L168)-N($O168),0)</f>
        <v>0</v>
      </c>
      <c r="AS168" s="5" t="n">
        <f aca="false">IF($F168="",0,IF($D168=AS$1,$F168,0))</f>
        <v>0</v>
      </c>
      <c r="AT168" s="6" t="n">
        <f aca="false">IF($D168=AS$1,N($K168)-N($L168)-N($O168),0)</f>
        <v>0</v>
      </c>
      <c r="AU168" s="5" t="n">
        <f aca="false">IF(N($J168)&gt;0,N($F168),0)</f>
        <v>0</v>
      </c>
      <c r="AV168" s="6" t="n">
        <f aca="false">IF(N($J168)&gt;0,$F168*$J168,0)</f>
        <v>0</v>
      </c>
    </row>
    <row r="169" customFormat="false" ht="15" hidden="false" customHeight="false" outlineLevel="0" collapsed="false">
      <c r="A169" s="16"/>
      <c r="B169" s="4"/>
      <c r="C169" s="4"/>
      <c r="D169" s="4"/>
      <c r="E169" s="4" t="n">
        <f aca="false">E168+1</f>
        <v>167</v>
      </c>
      <c r="F169" s="5"/>
      <c r="G169" s="6"/>
      <c r="H169" s="6"/>
      <c r="I169" s="6"/>
      <c r="J169" s="6"/>
      <c r="K169" s="6" t="str">
        <f aca="false">IF($F169="","",$F169*$H169)</f>
        <v/>
      </c>
      <c r="L169" s="6" t="n">
        <f aca="false">IFERROR(ROUND($F169*$G169,-1),"")</f>
        <v>0</v>
      </c>
      <c r="M169" s="4"/>
      <c r="N169" s="5" t="str">
        <f aca="false">IF($F169="","",IF(N($I169)&gt;0,$F169,0))</f>
        <v/>
      </c>
      <c r="O169" s="6" t="str">
        <f aca="false">IF($F169="","",N($N169)*N($I169))</f>
        <v/>
      </c>
      <c r="P169" s="6" t="str">
        <f aca="false">IF(OR($C169=P$1,$C169="Titan Rocks"),$K169,"")</f>
        <v/>
      </c>
      <c r="Q169" s="6" t="str">
        <f aca="false">IF($C169=Q$1,$K169,"")</f>
        <v/>
      </c>
      <c r="R169" s="5" t="str">
        <f aca="false">IF($C169=Q$1,$F169,"")</f>
        <v/>
      </c>
      <c r="S169" s="6" t="str">
        <f aca="false">IF($C169=S$1,$K169,"")</f>
        <v/>
      </c>
      <c r="T169" s="5" t="str">
        <f aca="false">IF($C169=S$1,$F169,"")</f>
        <v/>
      </c>
      <c r="U169" s="6" t="str">
        <f aca="false">IF($C169=U$1,$K169,"")</f>
        <v/>
      </c>
      <c r="V169" s="5" t="str">
        <f aca="false">IF($C169=U$1,$F169,"")</f>
        <v/>
      </c>
      <c r="W169" s="6" t="str">
        <f aca="false">IF($C169=W$1,$K169,"")</f>
        <v/>
      </c>
      <c r="X169" s="5" t="str">
        <f aca="false">IF($C169=W$1,$F169,"")</f>
        <v/>
      </c>
      <c r="Y169" s="6" t="str">
        <f aca="false">IF($C169=Y$1,$K169,"")</f>
        <v/>
      </c>
      <c r="Z169" s="5" t="str">
        <f aca="false">IF($C169=Y$1,$F169,"")</f>
        <v/>
      </c>
      <c r="AA169" s="6" t="str">
        <f aca="false">IF($C169=AA$1,$K169,"")</f>
        <v/>
      </c>
      <c r="AB169" s="5" t="str">
        <f aca="false">IF($C169=AA$1,$F169,"")</f>
        <v/>
      </c>
      <c r="AC169" s="6" t="str">
        <f aca="false">IF($C169=AC$1,$K169,"")</f>
        <v/>
      </c>
      <c r="AD169" s="5" t="str">
        <f aca="false">IF($C169=AC$1,$F169,"")</f>
        <v/>
      </c>
      <c r="AE169" s="6" t="str">
        <f aca="false">IF($C169=AE$1,$K169,"")</f>
        <v/>
      </c>
      <c r="AF169" s="5" t="str">
        <f aca="false">IF($C169=AE$1,$F169,"")</f>
        <v/>
      </c>
      <c r="AG169" s="6" t="str">
        <f aca="false">IF($C169=AG$1,$K169,"")</f>
        <v/>
      </c>
      <c r="AH169" s="5" t="str">
        <f aca="false">IF($C169=AG$1,$F169,"")</f>
        <v/>
      </c>
      <c r="AI169" s="6" t="str">
        <f aca="false">IF($C169=AI$1,$K169,"")</f>
        <v/>
      </c>
      <c r="AJ169" s="5" t="str">
        <f aca="false">IF($C169=AI$1,$F169,"")</f>
        <v/>
      </c>
      <c r="AK169" s="6" t="str">
        <f aca="false">IF($C169=AK$1,$K169,"")</f>
        <v/>
      </c>
      <c r="AL169" s="5" t="str">
        <f aca="false">IF($C169=AK$1,$F169,"")</f>
        <v/>
      </c>
      <c r="AM169" s="6" t="str">
        <f aca="false">IF($C169=AM$1,$K169,"")</f>
        <v/>
      </c>
      <c r="AN169" s="5" t="str">
        <f aca="false">IF($C169=AM$1,$F169,"")</f>
        <v/>
      </c>
      <c r="AO169" s="6" t="str">
        <f aca="false">IF($C169=AO$1,$K169,"")</f>
        <v/>
      </c>
      <c r="AP169" s="5" t="str">
        <f aca="false">IF($C169=AO$1,$F169,"")</f>
        <v/>
      </c>
      <c r="AQ169" s="5" t="n">
        <f aca="false">IF($F169="",0,IF($D169=AQ$1,$F169,0))</f>
        <v>0</v>
      </c>
      <c r="AR169" s="6" t="n">
        <f aca="false">IF($D169=AQ$1,N($K169)-N($L169)-N($O169),0)</f>
        <v>0</v>
      </c>
      <c r="AS169" s="5" t="n">
        <f aca="false">IF($F169="",0,IF($D169=AS$1,$F169,0))</f>
        <v>0</v>
      </c>
      <c r="AT169" s="6" t="n">
        <f aca="false">IF($D169=AS$1,N($K169)-N($L169)-N($O169),0)</f>
        <v>0</v>
      </c>
      <c r="AU169" s="5" t="n">
        <f aca="false">IF(N($J169)&gt;0,N($F169),0)</f>
        <v>0</v>
      </c>
      <c r="AV169" s="6" t="n">
        <f aca="false">IF(N($J169)&gt;0,$F169*$J169,0)</f>
        <v>0</v>
      </c>
    </row>
    <row r="170" customFormat="false" ht="15" hidden="false" customHeight="false" outlineLevel="0" collapsed="false">
      <c r="A170" s="16"/>
      <c r="B170" s="4"/>
      <c r="C170" s="4"/>
      <c r="D170" s="4"/>
      <c r="E170" s="4" t="n">
        <f aca="false">E169+1</f>
        <v>168</v>
      </c>
      <c r="F170" s="5"/>
      <c r="G170" s="6"/>
      <c r="H170" s="6"/>
      <c r="I170" s="6"/>
      <c r="J170" s="6"/>
      <c r="K170" s="6" t="str">
        <f aca="false">IF($F170="","",$F170*$H170)</f>
        <v/>
      </c>
      <c r="L170" s="6" t="n">
        <f aca="false">IFERROR(ROUND($F170*$G170,-1),"")</f>
        <v>0</v>
      </c>
      <c r="M170" s="4"/>
      <c r="N170" s="5" t="str">
        <f aca="false">IF($F170="","",IF(N($I170)&gt;0,$F170,0))</f>
        <v/>
      </c>
      <c r="O170" s="6" t="str">
        <f aca="false">IF($F170="","",N($N170)*N($I170))</f>
        <v/>
      </c>
      <c r="P170" s="6" t="str">
        <f aca="false">IF(OR($C170=P$1,$C170="Titan Rocks"),$K170,"")</f>
        <v/>
      </c>
      <c r="Q170" s="6" t="str">
        <f aca="false">IF($C170=Q$1,$K170,"")</f>
        <v/>
      </c>
      <c r="R170" s="5" t="str">
        <f aca="false">IF($C170=Q$1,$F170,"")</f>
        <v/>
      </c>
      <c r="S170" s="6" t="str">
        <f aca="false">IF($C170=S$1,$K170,"")</f>
        <v/>
      </c>
      <c r="T170" s="5" t="str">
        <f aca="false">IF($C170=S$1,$F170,"")</f>
        <v/>
      </c>
      <c r="U170" s="6" t="str">
        <f aca="false">IF($C170=U$1,$K170,"")</f>
        <v/>
      </c>
      <c r="V170" s="5" t="str">
        <f aca="false">IF($C170=U$1,$F170,"")</f>
        <v/>
      </c>
      <c r="W170" s="6" t="str">
        <f aca="false">IF($C170=W$1,$K170,"")</f>
        <v/>
      </c>
      <c r="X170" s="5" t="str">
        <f aca="false">IF($C170=W$1,$F170,"")</f>
        <v/>
      </c>
      <c r="Y170" s="6" t="str">
        <f aca="false">IF($C170=Y$1,$K170,"")</f>
        <v/>
      </c>
      <c r="Z170" s="5" t="str">
        <f aca="false">IF($C170=Y$1,$F170,"")</f>
        <v/>
      </c>
      <c r="AA170" s="6" t="str">
        <f aca="false">IF($C170=AA$1,$K170,"")</f>
        <v/>
      </c>
      <c r="AB170" s="5" t="str">
        <f aca="false">IF($C170=AA$1,$F170,"")</f>
        <v/>
      </c>
      <c r="AC170" s="6" t="str">
        <f aca="false">IF($C170=AC$1,$K170,"")</f>
        <v/>
      </c>
      <c r="AD170" s="5" t="str">
        <f aca="false">IF($C170=AC$1,$F170,"")</f>
        <v/>
      </c>
      <c r="AE170" s="6" t="str">
        <f aca="false">IF($C170=AE$1,$K170,"")</f>
        <v/>
      </c>
      <c r="AF170" s="5" t="str">
        <f aca="false">IF($C170=AE$1,$F170,"")</f>
        <v/>
      </c>
      <c r="AG170" s="6" t="str">
        <f aca="false">IF($C170=AG$1,$K170,"")</f>
        <v/>
      </c>
      <c r="AH170" s="5" t="str">
        <f aca="false">IF($C170=AG$1,$F170,"")</f>
        <v/>
      </c>
      <c r="AI170" s="6" t="str">
        <f aca="false">IF($C170=AI$1,$K170,"")</f>
        <v/>
      </c>
      <c r="AJ170" s="5" t="str">
        <f aca="false">IF($C170=AI$1,$F170,"")</f>
        <v/>
      </c>
      <c r="AK170" s="6" t="str">
        <f aca="false">IF($C170=AK$1,$K170,"")</f>
        <v/>
      </c>
      <c r="AL170" s="5" t="str">
        <f aca="false">IF($C170=AK$1,$F170,"")</f>
        <v/>
      </c>
      <c r="AM170" s="6" t="str">
        <f aca="false">IF($C170=AM$1,$K170,"")</f>
        <v/>
      </c>
      <c r="AN170" s="5" t="str">
        <f aca="false">IF($C170=AM$1,$F170,"")</f>
        <v/>
      </c>
      <c r="AO170" s="6" t="str">
        <f aca="false">IF($C170=AO$1,$K170,"")</f>
        <v/>
      </c>
      <c r="AP170" s="5" t="str">
        <f aca="false">IF($C170=AO$1,$F170,"")</f>
        <v/>
      </c>
      <c r="AQ170" s="5" t="n">
        <f aca="false">IF($F170="",0,IF($D170=AQ$1,$F170,0))</f>
        <v>0</v>
      </c>
      <c r="AR170" s="6" t="n">
        <f aca="false">IF($D170=AQ$1,N($K170)-N($L170)-N($O170),0)</f>
        <v>0</v>
      </c>
      <c r="AS170" s="5" t="n">
        <f aca="false">IF($F170="",0,IF($D170=AS$1,$F170,0))</f>
        <v>0</v>
      </c>
      <c r="AT170" s="6" t="n">
        <f aca="false">IF($D170=AS$1,N($K170)-N($L170)-N($O170),0)</f>
        <v>0</v>
      </c>
      <c r="AU170" s="5" t="n">
        <f aca="false">IF(N($J170)&gt;0,N($F170),0)</f>
        <v>0</v>
      </c>
      <c r="AV170" s="6" t="n">
        <f aca="false">IF(N($J170)&gt;0,$F170*$J170,0)</f>
        <v>0</v>
      </c>
    </row>
    <row r="171" customFormat="false" ht="15" hidden="false" customHeight="false" outlineLevel="0" collapsed="false">
      <c r="A171" s="18"/>
      <c r="B171" s="7" t="s">
        <v>61</v>
      </c>
      <c r="C171" s="7"/>
      <c r="D171" s="7"/>
      <c r="E171" s="7"/>
      <c r="F171" s="9" t="n">
        <f aca="false">SUM(F3:F170)</f>
        <v>4314.235</v>
      </c>
      <c r="G171" s="10"/>
      <c r="H171" s="10"/>
      <c r="I171" s="10"/>
      <c r="J171" s="10"/>
      <c r="K171" s="10" t="n">
        <f aca="false">SUM(K3:K170)</f>
        <v>3062202.025</v>
      </c>
      <c r="L171" s="10" t="n">
        <f aca="false">SUM(L3:L170)</f>
        <v>2686790</v>
      </c>
      <c r="M171" s="7"/>
      <c r="N171" s="9" t="n">
        <f aca="false">SUM(N3:N170)</f>
        <v>1097.27</v>
      </c>
      <c r="O171" s="10" t="n">
        <f aca="false">SUM(O3:O170)</f>
        <v>250775.75</v>
      </c>
      <c r="P171" s="10" t="n">
        <f aca="false">SUM(P3:P170)</f>
        <v>38487</v>
      </c>
      <c r="Q171" s="10" t="n">
        <f aca="false">SUM(Q3:Q170)</f>
        <v>218726.5</v>
      </c>
      <c r="R171" s="9" t="n">
        <f aca="false">SUM(R3:R170)</f>
        <v>296.33</v>
      </c>
      <c r="S171" s="10" t="n">
        <f aca="false">SUM(S3:S170)</f>
        <v>579726</v>
      </c>
      <c r="T171" s="9" t="n">
        <f aca="false">SUM(T3:T170)</f>
        <v>644.14</v>
      </c>
      <c r="U171" s="10" t="n">
        <f aca="false">SUM(U3:U170)</f>
        <v>0</v>
      </c>
      <c r="V171" s="9" t="n">
        <f aca="false">SUM(V3:V170)</f>
        <v>0</v>
      </c>
      <c r="W171" s="10" t="n">
        <f aca="false">SUM(W3:W170)</f>
        <v>168884.4</v>
      </c>
      <c r="X171" s="9" t="n">
        <f aca="false">SUM(X3:X170)</f>
        <v>194.12</v>
      </c>
      <c r="Y171" s="10" t="n">
        <f aca="false">SUM(Y3:Y170)</f>
        <v>141312.5</v>
      </c>
      <c r="Z171" s="9" t="n">
        <f aca="false">SUM(Z3:Z170)</f>
        <v>161.5</v>
      </c>
      <c r="AA171" s="10" t="n">
        <f aca="false">SUM(AA3:AA170)</f>
        <v>57192.75</v>
      </c>
      <c r="AB171" s="9" t="n">
        <f aca="false">SUM(AB3:AB170)</f>
        <v>84.73</v>
      </c>
      <c r="AC171" s="10" t="n">
        <f aca="false">SUM(AC3:AC170)</f>
        <v>0</v>
      </c>
      <c r="AD171" s="9" t="n">
        <f aca="false">SUM(AD3:AD170)</f>
        <v>0</v>
      </c>
      <c r="AE171" s="10" t="n">
        <f aca="false">SUM(AE3:AE170)</f>
        <v>0</v>
      </c>
      <c r="AF171" s="9" t="n">
        <f aca="false">SUM(AF3:AF170)</f>
        <v>0</v>
      </c>
      <c r="AG171" s="10" t="n">
        <f aca="false">SUM(AG3:AG170)</f>
        <v>29971.5</v>
      </c>
      <c r="AH171" s="9" t="n">
        <f aca="false">SUM(AH3:AH170)</f>
        <v>46.11</v>
      </c>
      <c r="AI171" s="10" t="n">
        <f aca="false">SUM(AI3:AI170)</f>
        <v>40670.5</v>
      </c>
      <c r="AJ171" s="9" t="n">
        <f aca="false">SUM(AJ3:AJ170)</f>
        <v>62.57</v>
      </c>
      <c r="AK171" s="10" t="n">
        <f aca="false">SUM(AK3:AK170)</f>
        <v>47972.25</v>
      </c>
      <c r="AL171" s="9" t="n">
        <f aca="false">SUM(AL3:AL170)</f>
        <v>71.07</v>
      </c>
      <c r="AM171" s="10" t="n">
        <f aca="false">SUM(AM3:AM170)</f>
        <v>0</v>
      </c>
      <c r="AN171" s="9" t="n">
        <f aca="false">SUM(AN3:AN170)</f>
        <v>0</v>
      </c>
      <c r="AO171" s="10" t="n">
        <f aca="false">SUM(AO3:AO170)</f>
        <v>1739258.625</v>
      </c>
      <c r="AP171" s="9" t="n">
        <f aca="false">SUM(AP3:AP170)</f>
        <v>2696.525</v>
      </c>
      <c r="AQ171" s="9" t="n">
        <f aca="false">SUM(AQ3:AQ170)</f>
        <v>1565.495</v>
      </c>
      <c r="AR171" s="10" t="n">
        <f aca="false">SUM(AR3:AR170)</f>
        <v>19659.225</v>
      </c>
      <c r="AS171" s="9" t="n">
        <f aca="false">SUM(AS3:AS170)</f>
        <v>2721.82</v>
      </c>
      <c r="AT171" s="10" t="n">
        <f aca="false">SUM(AT3:AT170)</f>
        <v>104973.05</v>
      </c>
      <c r="AU171" s="9" t="n">
        <f aca="false">SUM(AU3:AU170)</f>
        <v>3717.715</v>
      </c>
      <c r="AV171" s="10" t="n">
        <f aca="false">SUM(AV3:AV170)</f>
        <v>74354.3</v>
      </c>
    </row>
  </sheetData>
  <mergeCells count="15"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</mergeCells>
  <dataValidations count="2">
    <dataValidation allowBlank="true" errorStyle="stop" operator="between" showDropDown="false" showErrorMessage="false" showInputMessage="false" sqref="C3:C170" type="list">
      <formula1>"Outside site No Profit,Titan Rocks,MR Granites,AVK,AM Crusher,Al Falah metal crusher,Desinganad crusher,Desinganad MR own crusher,Mavila crusher,Thangalathu Crusher,Arun Kaavuvila,Police Mahesh,MR Oyoor,Sooraj,Kochammini"</formula1>
      <formula2>0</formula2>
    </dataValidation>
    <dataValidation allowBlank="true" errorStyle="stop" operator="between" showDropDown="false" showErrorMessage="false" showInputMessage="false" sqref="D3:D170" type="list">
      <formula1>"Pass,WO Pass"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8"/>
  </cols>
  <sheetData>
    <row r="2" customFormat="false" ht="16.15" hidden="false" customHeight="false" outlineLevel="0" collapsed="false">
      <c r="B2" s="1" t="s">
        <v>234</v>
      </c>
      <c r="C2" s="1"/>
      <c r="D2" s="1"/>
      <c r="E2" s="1"/>
    </row>
    <row r="4" customFormat="false" ht="15" hidden="false" customHeight="false" outlineLevel="0" collapsed="false">
      <c r="B4" s="7" t="s">
        <v>235</v>
      </c>
      <c r="C4" s="7" t="s">
        <v>236</v>
      </c>
      <c r="D4" s="7" t="s">
        <v>237</v>
      </c>
      <c r="E4" s="7" t="s">
        <v>10</v>
      </c>
    </row>
    <row r="5" customFormat="false" ht="15" hidden="false" customHeight="false" outlineLevel="0" collapsed="false">
      <c r="B5" s="19" t="n">
        <v>45962</v>
      </c>
      <c r="C5" s="5" t="n">
        <f aca="false">SUMIFS('Daily Ledger'!$F:$F,'Daily Ledger'!$A:$A,"&gt;="&amp;$B5,'Daily Ledger'!$A:$A,"&lt;"&amp;EOMONTH($B5,0)+1)</f>
        <v>1826.345</v>
      </c>
      <c r="D5" s="5" t="n">
        <f aca="false">SUMIFS('Daily Ledger'!$AU:$AU,'Daily Ledger'!$A:$A,"&gt;="&amp;$B5,'Daily Ledger'!$A:$A,"&lt;"&amp;EOMONTH($B5,0)+1)</f>
        <v>1799.425</v>
      </c>
      <c r="E5" s="6" t="n">
        <f aca="false">SUMIFS('Daily Ledger'!$AV:$AV,'Daily Ledger'!$A:$A,"&gt;="&amp;$B5,'Daily Ledger'!$A:$A,"&lt;"&amp;EOMONTH($B5,0)+1)</f>
        <v>35988.5</v>
      </c>
    </row>
    <row r="6" customFormat="false" ht="15" hidden="false" customHeight="false" outlineLevel="0" collapsed="false">
      <c r="B6" s="19" t="n">
        <v>45992</v>
      </c>
      <c r="C6" s="5" t="n">
        <f aca="false">SUMIFS('Daily Ledger'!$F:$F,'Daily Ledger'!$A:$A,"&gt;="&amp;$B6,'Daily Ledger'!$A:$A,"&lt;"&amp;EOMONTH($B6,0)+1)</f>
        <v>0</v>
      </c>
      <c r="D6" s="5" t="n">
        <f aca="false">SUMIFS('Daily Ledger'!$AU:$AU,'Daily Ledger'!$A:$A,"&gt;="&amp;$B6,'Daily Ledger'!$A:$A,"&lt;"&amp;EOMONTH($B6,0)+1)</f>
        <v>0</v>
      </c>
      <c r="E6" s="6" t="n">
        <f aca="false">SUMIFS('Daily Ledger'!$AV:$AV,'Daily Ledger'!$A:$A,"&gt;="&amp;$B6,'Daily Ledger'!$A:$A,"&lt;"&amp;EOMONTH($B6,0)+1)</f>
        <v>0</v>
      </c>
    </row>
    <row r="7" customFormat="false" ht="15" hidden="false" customHeight="false" outlineLevel="0" collapsed="false">
      <c r="B7" s="19" t="n">
        <v>46023</v>
      </c>
      <c r="C7" s="5" t="n">
        <f aca="false">SUMIFS('Daily Ledger'!$F:$F,'Daily Ledger'!$A:$A,"&gt;="&amp;$B7,'Daily Ledger'!$A:$A,"&lt;"&amp;EOMONTH($B7,0)+1)</f>
        <v>0</v>
      </c>
      <c r="D7" s="5" t="n">
        <f aca="false">SUMIFS('Daily Ledger'!$AU:$AU,'Daily Ledger'!$A:$A,"&gt;="&amp;$B7,'Daily Ledger'!$A:$A,"&lt;"&amp;EOMONTH($B7,0)+1)</f>
        <v>0</v>
      </c>
      <c r="E7" s="6" t="n">
        <f aca="false">SUMIFS('Daily Ledger'!$AV:$AV,'Daily Ledger'!$A:$A,"&gt;="&amp;$B7,'Daily Ledger'!$A:$A,"&lt;"&amp;EOMONTH($B7,0)+1)</f>
        <v>0</v>
      </c>
    </row>
    <row r="8" customFormat="false" ht="15" hidden="false" customHeight="false" outlineLevel="0" collapsed="false">
      <c r="B8" s="19" t="n">
        <v>46054</v>
      </c>
      <c r="C8" s="5" t="n">
        <f aca="false">SUMIFS('Daily Ledger'!$F:$F,'Daily Ledger'!$A:$A,"&gt;="&amp;$B8,'Daily Ledger'!$A:$A,"&lt;"&amp;EOMONTH($B8,0)+1)</f>
        <v>0</v>
      </c>
      <c r="D8" s="5" t="n">
        <f aca="false">SUMIFS('Daily Ledger'!$AU:$AU,'Daily Ledger'!$A:$A,"&gt;="&amp;$B8,'Daily Ledger'!$A:$A,"&lt;"&amp;EOMONTH($B8,0)+1)</f>
        <v>0</v>
      </c>
      <c r="E8" s="6" t="n">
        <f aca="false">SUMIFS('Daily Ledger'!$AV:$AV,'Daily Ledger'!$A:$A,"&gt;="&amp;$B8,'Daily Ledger'!$A:$A,"&lt;"&amp;EOMONTH($B8,0)+1)</f>
        <v>0</v>
      </c>
    </row>
    <row r="9" customFormat="false" ht="15" hidden="false" customHeight="false" outlineLevel="0" collapsed="false">
      <c r="B9" s="19" t="n">
        <v>46082</v>
      </c>
      <c r="C9" s="5" t="n">
        <f aca="false">SUMIFS('Daily Ledger'!$F:$F,'Daily Ledger'!$A:$A,"&gt;="&amp;$B9,'Daily Ledger'!$A:$A,"&lt;"&amp;EOMONTH($B9,0)+1)</f>
        <v>1531.71</v>
      </c>
      <c r="D9" s="5" t="n">
        <f aca="false">SUMIFS('Daily Ledger'!$AU:$AU,'Daily Ledger'!$A:$A,"&gt;="&amp;$B9,'Daily Ledger'!$A:$A,"&lt;"&amp;EOMONTH($B9,0)+1)</f>
        <v>1531.71</v>
      </c>
      <c r="E9" s="6" t="n">
        <f aca="false">SUMIFS('Daily Ledger'!$AV:$AV,'Daily Ledger'!$A:$A,"&gt;="&amp;$B9,'Daily Ledger'!$A:$A,"&lt;"&amp;EOMONTH($B9,0)+1)</f>
        <v>30634.2</v>
      </c>
    </row>
    <row r="10" customFormat="false" ht="15" hidden="false" customHeight="false" outlineLevel="0" collapsed="false">
      <c r="B10" s="19" t="n">
        <v>46113</v>
      </c>
      <c r="C10" s="5" t="n">
        <f aca="false">SUMIFS('Daily Ledger'!$F:$F,'Daily Ledger'!$A:$A,"&gt;="&amp;$B10,'Daily Ledger'!$A:$A,"&lt;"&amp;EOMONTH($B10,0)+1)</f>
        <v>0</v>
      </c>
      <c r="D10" s="5" t="n">
        <f aca="false">SUMIFS('Daily Ledger'!$AU:$AU,'Daily Ledger'!$A:$A,"&gt;="&amp;$B10,'Daily Ledger'!$A:$A,"&lt;"&amp;EOMONTH($B10,0)+1)</f>
        <v>0</v>
      </c>
      <c r="E10" s="6" t="n">
        <f aca="false">SUMIFS('Daily Ledger'!$AV:$AV,'Daily Ledger'!$A:$A,"&gt;="&amp;$B10,'Daily Ledger'!$A:$A,"&lt;"&amp;EOMONTH($B10,0)+1)</f>
        <v>0</v>
      </c>
    </row>
    <row r="11" customFormat="false" ht="15" hidden="false" customHeight="false" outlineLevel="0" collapsed="false">
      <c r="B11" s="19" t="n">
        <v>46143</v>
      </c>
      <c r="C11" s="5" t="n">
        <f aca="false">SUMIFS('Daily Ledger'!$F:$F,'Daily Ledger'!$A:$A,"&gt;="&amp;$B11,'Daily Ledger'!$A:$A,"&lt;"&amp;EOMONTH($B11,0)+1)</f>
        <v>0</v>
      </c>
      <c r="D11" s="5" t="n">
        <f aca="false">SUMIFS('Daily Ledger'!$AU:$AU,'Daily Ledger'!$A:$A,"&gt;="&amp;$B11,'Daily Ledger'!$A:$A,"&lt;"&amp;EOMONTH($B11,0)+1)</f>
        <v>0</v>
      </c>
      <c r="E11" s="6" t="n">
        <f aca="false">SUMIFS('Daily Ledger'!$AV:$AV,'Daily Ledger'!$A:$A,"&gt;="&amp;$B11,'Daily Ledger'!$A:$A,"&lt;"&amp;EOMONTH($B11,0)+1)</f>
        <v>0</v>
      </c>
    </row>
    <row r="12" customFormat="false" ht="15" hidden="false" customHeight="false" outlineLevel="0" collapsed="false">
      <c r="B12" s="19" t="n">
        <v>46174</v>
      </c>
      <c r="C12" s="5" t="n">
        <f aca="false">SUMIFS('Daily Ledger'!$F:$F,'Daily Ledger'!$A:$A,"&gt;="&amp;$B12,'Daily Ledger'!$A:$A,"&lt;"&amp;EOMONTH($B12,0)+1)</f>
        <v>0</v>
      </c>
      <c r="D12" s="5" t="n">
        <f aca="false">SUMIFS('Daily Ledger'!$AU:$AU,'Daily Ledger'!$A:$A,"&gt;="&amp;$B12,'Daily Ledger'!$A:$A,"&lt;"&amp;EOMONTH($B12,0)+1)</f>
        <v>0</v>
      </c>
      <c r="E12" s="6" t="n">
        <f aca="false">SUMIFS('Daily Ledger'!$AV:$AV,'Daily Ledger'!$A:$A,"&gt;="&amp;$B12,'Daily Ledger'!$A:$A,"&lt;"&amp;EOMONTH($B12,0)+1)</f>
        <v>0</v>
      </c>
    </row>
    <row r="13" customFormat="false" ht="15" hidden="false" customHeight="false" outlineLevel="0" collapsed="false">
      <c r="B13" s="19" t="n">
        <v>46204</v>
      </c>
      <c r="C13" s="5" t="n">
        <f aca="false">SUMIFS('Daily Ledger'!$F:$F,'Daily Ledger'!$A:$A,"&gt;="&amp;$B13,'Daily Ledger'!$A:$A,"&lt;"&amp;EOMONTH($B13,0)+1)</f>
        <v>956.18</v>
      </c>
      <c r="D13" s="5" t="n">
        <f aca="false">SUMIFS('Daily Ledger'!$AU:$AU,'Daily Ledger'!$A:$A,"&gt;="&amp;$B13,'Daily Ledger'!$A:$A,"&lt;"&amp;EOMONTH($B13,0)+1)</f>
        <v>386.58</v>
      </c>
      <c r="E13" s="6" t="n">
        <f aca="false">SUMIFS('Daily Ledger'!$AV:$AV,'Daily Ledger'!$A:$A,"&gt;="&amp;$B13,'Daily Ledger'!$A:$A,"&lt;"&amp;EOMONTH($B13,0)+1)</f>
        <v>7731.6</v>
      </c>
    </row>
    <row r="14" customFormat="false" ht="15" hidden="false" customHeight="false" outlineLevel="0" collapsed="false">
      <c r="B14" s="19" t="n">
        <v>46235</v>
      </c>
      <c r="C14" s="5" t="n">
        <f aca="false">SUMIFS('Daily Ledger'!$F:$F,'Daily Ledger'!$A:$A,"&gt;="&amp;$B14,'Daily Ledger'!$A:$A,"&lt;"&amp;EOMONTH($B14,0)+1)</f>
        <v>0</v>
      </c>
      <c r="D14" s="5" t="n">
        <f aca="false">SUMIFS('Daily Ledger'!$AU:$AU,'Daily Ledger'!$A:$A,"&gt;="&amp;$B14,'Daily Ledger'!$A:$A,"&lt;"&amp;EOMONTH($B14,0)+1)</f>
        <v>0</v>
      </c>
      <c r="E14" s="6" t="n">
        <f aca="false">SUMIFS('Daily Ledger'!$AV:$AV,'Daily Ledger'!$A:$A,"&gt;="&amp;$B14,'Daily Ledger'!$A:$A,"&lt;"&amp;EOMONTH($B14,0)+1)</f>
        <v>0</v>
      </c>
    </row>
    <row r="15" customFormat="false" ht="15" hidden="false" customHeight="false" outlineLevel="0" collapsed="false">
      <c r="B15" s="19" t="n">
        <v>46266</v>
      </c>
      <c r="C15" s="5" t="n">
        <f aca="false">SUMIFS('Daily Ledger'!$F:$F,'Daily Ledger'!$A:$A,"&gt;="&amp;$B15,'Daily Ledger'!$A:$A,"&lt;"&amp;EOMONTH($B15,0)+1)</f>
        <v>0</v>
      </c>
      <c r="D15" s="5" t="n">
        <f aca="false">SUMIFS('Daily Ledger'!$AU:$AU,'Daily Ledger'!$A:$A,"&gt;="&amp;$B15,'Daily Ledger'!$A:$A,"&lt;"&amp;EOMONTH($B15,0)+1)</f>
        <v>0</v>
      </c>
      <c r="E15" s="6" t="n">
        <f aca="false">SUMIFS('Daily Ledger'!$AV:$AV,'Daily Ledger'!$A:$A,"&gt;="&amp;$B15,'Daily Ledger'!$A:$A,"&lt;"&amp;EOMONTH($B15,0)+1)</f>
        <v>0</v>
      </c>
    </row>
    <row r="16" customFormat="false" ht="15" hidden="false" customHeight="false" outlineLevel="0" collapsed="false">
      <c r="B16" s="19" t="n">
        <v>46296</v>
      </c>
      <c r="C16" s="5" t="n">
        <f aca="false">SUMIFS('Daily Ledger'!$F:$F,'Daily Ledger'!$A:$A,"&gt;="&amp;$B16,'Daily Ledger'!$A:$A,"&lt;"&amp;EOMONTH($B16,0)+1)</f>
        <v>0</v>
      </c>
      <c r="D16" s="5" t="n">
        <f aca="false">SUMIFS('Daily Ledger'!$AU:$AU,'Daily Ledger'!$A:$A,"&gt;="&amp;$B16,'Daily Ledger'!$A:$A,"&lt;"&amp;EOMONTH($B16,0)+1)</f>
        <v>0</v>
      </c>
      <c r="E16" s="6" t="n">
        <f aca="false">SUMIFS('Daily Ledger'!$AV:$AV,'Daily Ledger'!$A:$A,"&gt;="&amp;$B16,'Daily Ledger'!$A:$A,"&lt;"&amp;EOMONTH($B16,0)+1)</f>
        <v>0</v>
      </c>
    </row>
    <row r="17" customFormat="false" ht="15" hidden="false" customHeight="false" outlineLevel="0" collapsed="false">
      <c r="B17" s="19" t="n">
        <v>46327</v>
      </c>
      <c r="C17" s="5" t="n">
        <f aca="false">SUMIFS('Daily Ledger'!$F:$F,'Daily Ledger'!$A:$A,"&gt;="&amp;$B17,'Daily Ledger'!$A:$A,"&lt;"&amp;EOMONTH($B17,0)+1)</f>
        <v>0</v>
      </c>
      <c r="D17" s="5" t="n">
        <f aca="false">SUMIFS('Daily Ledger'!$AU:$AU,'Daily Ledger'!$A:$A,"&gt;="&amp;$B17,'Daily Ledger'!$A:$A,"&lt;"&amp;EOMONTH($B17,0)+1)</f>
        <v>0</v>
      </c>
      <c r="E17" s="6" t="n">
        <f aca="false">SUMIFS('Daily Ledger'!$AV:$AV,'Daily Ledger'!$A:$A,"&gt;="&amp;$B17,'Daily Ledger'!$A:$A,"&lt;"&amp;EOMONTH($B17,0)+1)</f>
        <v>0</v>
      </c>
    </row>
    <row r="18" customFormat="false" ht="15" hidden="false" customHeight="false" outlineLevel="0" collapsed="false">
      <c r="B18" s="19" t="n">
        <v>46357</v>
      </c>
      <c r="C18" s="5" t="n">
        <f aca="false">SUMIFS('Daily Ledger'!$F:$F,'Daily Ledger'!$A:$A,"&gt;="&amp;$B18,'Daily Ledger'!$A:$A,"&lt;"&amp;EOMONTH($B18,0)+1)</f>
        <v>0</v>
      </c>
      <c r="D18" s="5" t="n">
        <f aca="false">SUMIFS('Daily Ledger'!$AU:$AU,'Daily Ledger'!$A:$A,"&gt;="&amp;$B18,'Daily Ledger'!$A:$A,"&lt;"&amp;EOMONTH($B18,0)+1)</f>
        <v>0</v>
      </c>
      <c r="E18" s="6" t="n">
        <f aca="false">SUMIFS('Daily Ledger'!$AV:$AV,'Daily Ledger'!$A:$A,"&gt;="&amp;$B18,'Daily Ledger'!$A:$A,"&lt;"&amp;EOMONTH($B18,0)+1)</f>
        <v>0</v>
      </c>
    </row>
    <row r="19" customFormat="false" ht="15" hidden="false" customHeight="false" outlineLevel="0" collapsed="false">
      <c r="B19" s="7" t="s">
        <v>61</v>
      </c>
      <c r="C19" s="9" t="n">
        <f aca="false">SUM(C5:C18)</f>
        <v>4314.235</v>
      </c>
      <c r="D19" s="9" t="n">
        <f aca="false">SUM(D5:D18)</f>
        <v>3717.715</v>
      </c>
      <c r="E19" s="10" t="n">
        <f aca="false">SUM(E5:E18)</f>
        <v>74354.3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7" min="3" style="0" width="18"/>
  </cols>
  <sheetData>
    <row r="2" customFormat="false" ht="16.15" hidden="false" customHeight="false" outlineLevel="0" collapsed="false">
      <c r="B2" s="1" t="s">
        <v>238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7" t="s">
        <v>11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239</v>
      </c>
    </row>
    <row r="5" customFormat="false" ht="15" hidden="false" customHeight="false" outlineLevel="0" collapsed="false">
      <c r="B5" s="4" t="s">
        <v>14</v>
      </c>
      <c r="C5" s="5" t="n">
        <f aca="false">SUMIFS('Daily Ledger'!$F:$F,'Daily Ledger'!$C:$C,$B5)</f>
        <v>26.92</v>
      </c>
      <c r="D5" s="6" t="n">
        <f aca="false">SUMIFS('Daily Ledger'!$K:$K,'Daily Ledger'!$C:$C,$B5)</f>
        <v>18844</v>
      </c>
      <c r="E5" s="6" t="n">
        <f aca="false">SUMIFS('Daily Ledger'!$L:$L,'Daily Ledger'!$C:$C,$B5)</f>
        <v>18840</v>
      </c>
      <c r="F5" s="6" t="n">
        <f aca="false">SUMIFS('Daily Ledger'!$O:$O,'Daily Ledger'!$C:$C,$B5)</f>
        <v>0</v>
      </c>
      <c r="G5" s="6" t="n">
        <f aca="false">D5-E5-F5</f>
        <v>4</v>
      </c>
    </row>
    <row r="6" customFormat="false" ht="15" hidden="false" customHeight="false" outlineLevel="0" collapsed="false">
      <c r="B6" s="4" t="s">
        <v>233</v>
      </c>
      <c r="C6" s="5" t="n">
        <f aca="false">SUMIFS('Daily Ledger'!$F:$F,'Daily Ledger'!$C:$C,$B6)</f>
        <v>30.22</v>
      </c>
      <c r="D6" s="6" t="n">
        <f aca="false">SUMIFS('Daily Ledger'!$K:$K,'Daily Ledger'!$C:$C,$B6)</f>
        <v>19643</v>
      </c>
      <c r="E6" s="6" t="n">
        <f aca="false">SUMIFS('Daily Ledger'!$L:$L,'Daily Ledger'!$C:$C,$B6)</f>
        <v>19340</v>
      </c>
      <c r="F6" s="6" t="n">
        <f aca="false">SUMIFS('Daily Ledger'!$O:$O,'Daily Ledger'!$C:$C,$B6)</f>
        <v>0</v>
      </c>
      <c r="G6" s="6" t="n">
        <f aca="false">D6-E6-F6</f>
        <v>303</v>
      </c>
    </row>
    <row r="7" customFormat="false" ht="15" hidden="false" customHeight="false" outlineLevel="0" collapsed="false">
      <c r="B7" s="4" t="s">
        <v>15</v>
      </c>
      <c r="C7" s="5" t="n">
        <f aca="false">SUMIFS('Daily Ledger'!$F:$F,'Daily Ledger'!$C:$C,$B7)</f>
        <v>296.33</v>
      </c>
      <c r="D7" s="6" t="n">
        <f aca="false">SUMIFS('Daily Ledger'!$K:$K,'Daily Ledger'!$C:$C,$B7)</f>
        <v>218726.5</v>
      </c>
      <c r="E7" s="6" t="n">
        <f aca="false">SUMIFS('Daily Ledger'!$L:$L,'Daily Ledger'!$C:$C,$B7)</f>
        <v>188410</v>
      </c>
      <c r="F7" s="6" t="n">
        <f aca="false">SUMIFS('Daily Ledger'!$O:$O,'Daily Ledger'!$C:$C,$B7)</f>
        <v>21452.2</v>
      </c>
      <c r="G7" s="6" t="n">
        <f aca="false">D7-E7-F7</f>
        <v>8864.3</v>
      </c>
    </row>
    <row r="8" customFormat="false" ht="15" hidden="false" customHeight="false" outlineLevel="0" collapsed="false">
      <c r="B8" s="4" t="s">
        <v>16</v>
      </c>
      <c r="C8" s="5" t="n">
        <f aca="false">SUMIFS('Daily Ledger'!$F:$F,'Daily Ledger'!$C:$C,$B8)</f>
        <v>644.14</v>
      </c>
      <c r="D8" s="6" t="n">
        <f aca="false">SUMIFS('Daily Ledger'!$K:$K,'Daily Ledger'!$C:$C,$B8)</f>
        <v>579726</v>
      </c>
      <c r="E8" s="6" t="n">
        <f aca="false">SUMIFS('Daily Ledger'!$L:$L,'Daily Ledger'!$C:$C,$B8)</f>
        <v>404510</v>
      </c>
      <c r="F8" s="6" t="n">
        <f aca="false">SUMIFS('Daily Ledger'!$O:$O,'Daily Ledger'!$C:$C,$B8)</f>
        <v>153672.75</v>
      </c>
      <c r="G8" s="6" t="n">
        <f aca="false">D8-E8-F8</f>
        <v>21543.25</v>
      </c>
    </row>
    <row r="9" customFormat="false" ht="15" hidden="false" customHeight="false" outlineLevel="0" collapsed="false">
      <c r="B9" s="4" t="s">
        <v>17</v>
      </c>
      <c r="C9" s="5" t="n">
        <f aca="false">SUMIFS('Daily Ledger'!$F:$F,'Daily Ledger'!$C:$C,$B9)</f>
        <v>0</v>
      </c>
      <c r="D9" s="6" t="n">
        <f aca="false">SUMIFS('Daily Ledger'!$K:$K,'Daily Ledger'!$C:$C,$B9)</f>
        <v>0</v>
      </c>
      <c r="E9" s="6" t="n">
        <f aca="false">SUMIFS('Daily Ledger'!$L:$L,'Daily Ledger'!$C:$C,$B9)</f>
        <v>0</v>
      </c>
      <c r="F9" s="6" t="n">
        <f aca="false">SUMIFS('Daily Ledger'!$O:$O,'Daily Ledger'!$C:$C,$B9)</f>
        <v>0</v>
      </c>
      <c r="G9" s="6" t="n">
        <f aca="false">D9-E9-F9</f>
        <v>0</v>
      </c>
    </row>
    <row r="10" customFormat="false" ht="15" hidden="false" customHeight="false" outlineLevel="0" collapsed="false">
      <c r="B10" s="4" t="s">
        <v>18</v>
      </c>
      <c r="C10" s="5" t="n">
        <f aca="false">SUMIFS('Daily Ledger'!$F:$F,'Daily Ledger'!$C:$C,$B10)</f>
        <v>194.12</v>
      </c>
      <c r="D10" s="6" t="n">
        <f aca="false">SUMIFS('Daily Ledger'!$K:$K,'Daily Ledger'!$C:$C,$B10)</f>
        <v>168884.4</v>
      </c>
      <c r="E10" s="6" t="n">
        <f aca="false">SUMIFS('Daily Ledger'!$L:$L,'Daily Ledger'!$C:$C,$B10)</f>
        <v>119410</v>
      </c>
      <c r="F10" s="6" t="n">
        <f aca="false">SUMIFS('Daily Ledger'!$O:$O,'Daily Ledger'!$C:$C,$B10)</f>
        <v>41735.8</v>
      </c>
      <c r="G10" s="6" t="n">
        <f aca="false">D10-E10-F10</f>
        <v>7738.59999999999</v>
      </c>
    </row>
    <row r="11" customFormat="false" ht="15" hidden="false" customHeight="false" outlineLevel="0" collapsed="false">
      <c r="B11" s="4" t="s">
        <v>19</v>
      </c>
      <c r="C11" s="5" t="n">
        <f aca="false">SUMIFS('Daily Ledger'!$F:$F,'Daily Ledger'!$C:$C,$B11)</f>
        <v>161.5</v>
      </c>
      <c r="D11" s="6" t="n">
        <f aca="false">SUMIFS('Daily Ledger'!$K:$K,'Daily Ledger'!$C:$C,$B11)</f>
        <v>141312.5</v>
      </c>
      <c r="E11" s="6" t="n">
        <f aca="false">SUMIFS('Daily Ledger'!$L:$L,'Daily Ledger'!$C:$C,$B11)</f>
        <v>102350</v>
      </c>
      <c r="F11" s="6" t="n">
        <f aca="false">SUMIFS('Daily Ledger'!$O:$O,'Daily Ledger'!$C:$C,$B11)</f>
        <v>33915</v>
      </c>
      <c r="G11" s="6" t="n">
        <f aca="false">D11-E11-F11</f>
        <v>5047.5</v>
      </c>
    </row>
    <row r="12" customFormat="false" ht="15" hidden="false" customHeight="false" outlineLevel="0" collapsed="false">
      <c r="B12" s="4" t="s">
        <v>20</v>
      </c>
      <c r="C12" s="5" t="n">
        <f aca="false">SUMIFS('Daily Ledger'!$F:$F,'Daily Ledger'!$C:$C,$B12)</f>
        <v>84.73</v>
      </c>
      <c r="D12" s="6" t="n">
        <f aca="false">SUMIFS('Daily Ledger'!$K:$K,'Daily Ledger'!$C:$C,$B12)</f>
        <v>57192.75</v>
      </c>
      <c r="E12" s="6" t="n">
        <f aca="false">SUMIFS('Daily Ledger'!$L:$L,'Daily Ledger'!$C:$C,$B12)</f>
        <v>52480</v>
      </c>
      <c r="F12" s="6" t="n">
        <f aca="false">SUMIFS('Daily Ledger'!$O:$O,'Daily Ledger'!$C:$C,$B12)</f>
        <v>0</v>
      </c>
      <c r="G12" s="6" t="n">
        <f aca="false">D12-E12-F12</f>
        <v>4712.75000000001</v>
      </c>
    </row>
    <row r="13" customFormat="false" ht="15" hidden="false" customHeight="false" outlineLevel="0" collapsed="false">
      <c r="B13" s="4" t="s">
        <v>21</v>
      </c>
      <c r="C13" s="5" t="n">
        <f aca="false">SUMIFS('Daily Ledger'!$F:$F,'Daily Ledger'!$C:$C,$B13)</f>
        <v>0</v>
      </c>
      <c r="D13" s="6" t="n">
        <f aca="false">SUMIFS('Daily Ledger'!$K:$K,'Daily Ledger'!$C:$C,$B13)</f>
        <v>0</v>
      </c>
      <c r="E13" s="6" t="n">
        <f aca="false">SUMIFS('Daily Ledger'!$L:$L,'Daily Ledger'!$C:$C,$B13)</f>
        <v>0</v>
      </c>
      <c r="F13" s="6" t="n">
        <f aca="false">SUMIFS('Daily Ledger'!$O:$O,'Daily Ledger'!$C:$C,$B13)</f>
        <v>0</v>
      </c>
      <c r="G13" s="6" t="n">
        <f aca="false">D13-E13-F13</f>
        <v>0</v>
      </c>
    </row>
    <row r="14" customFormat="false" ht="15" hidden="false" customHeight="false" outlineLevel="0" collapsed="false">
      <c r="B14" s="4" t="s">
        <v>22</v>
      </c>
      <c r="C14" s="5" t="n">
        <f aca="false">SUMIFS('Daily Ledger'!$F:$F,'Daily Ledger'!$C:$C,$B14)</f>
        <v>0</v>
      </c>
      <c r="D14" s="6" t="n">
        <f aca="false">SUMIFS('Daily Ledger'!$K:$K,'Daily Ledger'!$C:$C,$B14)</f>
        <v>0</v>
      </c>
      <c r="E14" s="6" t="n">
        <f aca="false">SUMIFS('Daily Ledger'!$L:$L,'Daily Ledger'!$C:$C,$B14)</f>
        <v>0</v>
      </c>
      <c r="F14" s="6" t="n">
        <f aca="false">SUMIFS('Daily Ledger'!$O:$O,'Daily Ledger'!$C:$C,$B14)</f>
        <v>0</v>
      </c>
      <c r="G14" s="6" t="n">
        <f aca="false">D14-E14-F14</f>
        <v>0</v>
      </c>
    </row>
    <row r="15" customFormat="false" ht="15" hidden="false" customHeight="false" outlineLevel="0" collapsed="false">
      <c r="B15" s="4" t="s">
        <v>23</v>
      </c>
      <c r="C15" s="5" t="n">
        <f aca="false">SUMIFS('Daily Ledger'!$F:$F,'Daily Ledger'!$C:$C,$B15)</f>
        <v>46.11</v>
      </c>
      <c r="D15" s="6" t="n">
        <f aca="false">SUMIFS('Daily Ledger'!$K:$K,'Daily Ledger'!$C:$C,$B15)</f>
        <v>29971.5</v>
      </c>
      <c r="E15" s="6" t="n">
        <f aca="false">SUMIFS('Daily Ledger'!$L:$L,'Daily Ledger'!$C:$C,$B15)</f>
        <v>28120</v>
      </c>
      <c r="F15" s="6" t="n">
        <f aca="false">SUMIFS('Daily Ledger'!$O:$O,'Daily Ledger'!$C:$C,$B15)</f>
        <v>0</v>
      </c>
      <c r="G15" s="6" t="n">
        <f aca="false">D15-E15-F15</f>
        <v>1851.5</v>
      </c>
    </row>
    <row r="16" customFormat="false" ht="15" hidden="false" customHeight="false" outlineLevel="0" collapsed="false">
      <c r="B16" s="4" t="s">
        <v>24</v>
      </c>
      <c r="C16" s="5" t="n">
        <f aca="false">SUMIFS('Daily Ledger'!$F:$F,'Daily Ledger'!$C:$C,$B16)</f>
        <v>62.57</v>
      </c>
      <c r="D16" s="6" t="n">
        <f aca="false">SUMIFS('Daily Ledger'!$K:$K,'Daily Ledger'!$C:$C,$B16)</f>
        <v>40670.5</v>
      </c>
      <c r="E16" s="6" t="n">
        <f aca="false">SUMIFS('Daily Ledger'!$L:$L,'Daily Ledger'!$C:$C,$B16)</f>
        <v>39100</v>
      </c>
      <c r="F16" s="6" t="n">
        <f aca="false">SUMIFS('Daily Ledger'!$O:$O,'Daily Ledger'!$C:$C,$B16)</f>
        <v>0</v>
      </c>
      <c r="G16" s="6" t="n">
        <f aca="false">D16-E16-F16</f>
        <v>1570.5</v>
      </c>
    </row>
    <row r="17" customFormat="false" ht="15" hidden="false" customHeight="false" outlineLevel="0" collapsed="false">
      <c r="B17" s="4" t="s">
        <v>25</v>
      </c>
      <c r="C17" s="5" t="n">
        <f aca="false">SUMIFS('Daily Ledger'!$F:$F,'Daily Ledger'!$C:$C,$B17)</f>
        <v>71.07</v>
      </c>
      <c r="D17" s="6" t="n">
        <f aca="false">SUMIFS('Daily Ledger'!$K:$K,'Daily Ledger'!$C:$C,$B17)</f>
        <v>47972.25</v>
      </c>
      <c r="E17" s="6" t="n">
        <f aca="false">SUMIFS('Daily Ledger'!$L:$L,'Daily Ledger'!$C:$C,$B17)</f>
        <v>46200</v>
      </c>
      <c r="F17" s="6" t="n">
        <f aca="false">SUMIFS('Daily Ledger'!$O:$O,'Daily Ledger'!$C:$C,$B17)</f>
        <v>0</v>
      </c>
      <c r="G17" s="6" t="n">
        <f aca="false">D17-E17-F17</f>
        <v>1772.25</v>
      </c>
    </row>
    <row r="18" customFormat="false" ht="15" hidden="false" customHeight="false" outlineLevel="0" collapsed="false">
      <c r="B18" s="4" t="s">
        <v>26</v>
      </c>
      <c r="C18" s="5" t="n">
        <f aca="false">SUMIFS('Daily Ledger'!$F:$F,'Daily Ledger'!$C:$C,$B18)</f>
        <v>0</v>
      </c>
      <c r="D18" s="6" t="n">
        <f aca="false">SUMIFS('Daily Ledger'!$K:$K,'Daily Ledger'!$C:$C,$B18)</f>
        <v>0</v>
      </c>
      <c r="E18" s="6" t="n">
        <f aca="false">SUMIFS('Daily Ledger'!$L:$L,'Daily Ledger'!$C:$C,$B18)</f>
        <v>0</v>
      </c>
      <c r="F18" s="6" t="n">
        <f aca="false">SUMIFS('Daily Ledger'!$O:$O,'Daily Ledger'!$C:$C,$B18)</f>
        <v>0</v>
      </c>
      <c r="G18" s="6" t="n">
        <f aca="false">D18-E18-F18</f>
        <v>0</v>
      </c>
    </row>
    <row r="19" customFormat="false" ht="15" hidden="false" customHeight="false" outlineLevel="0" collapsed="false">
      <c r="B19" s="4" t="s">
        <v>27</v>
      </c>
      <c r="C19" s="5" t="n">
        <f aca="false">SUMIFS('Daily Ledger'!$F:$F,'Daily Ledger'!$C:$C,$B19)</f>
        <v>2696.525</v>
      </c>
      <c r="D19" s="6" t="n">
        <f aca="false">SUMIFS('Daily Ledger'!$K:$K,'Daily Ledger'!$C:$C,$B19)</f>
        <v>1739258.625</v>
      </c>
      <c r="E19" s="6" t="n">
        <f aca="false">SUMIFS('Daily Ledger'!$L:$L,'Daily Ledger'!$C:$C,$B19)</f>
        <v>1668030</v>
      </c>
      <c r="F19" s="6" t="n">
        <f aca="false">SUMIFS('Daily Ledger'!$O:$O,'Daily Ledger'!$C:$C,$B19)</f>
        <v>0</v>
      </c>
      <c r="G19" s="6" t="n">
        <f aca="false">D19-E19-F19</f>
        <v>71228.625</v>
      </c>
    </row>
    <row r="20" customFormat="false" ht="15" hidden="false" customHeight="false" outlineLevel="0" collapsed="false">
      <c r="B20" s="7" t="s">
        <v>61</v>
      </c>
      <c r="C20" s="9" t="n">
        <f aca="false">SUM(C5:C19)</f>
        <v>4314.235</v>
      </c>
      <c r="D20" s="10" t="n">
        <f aca="false">SUM(D5:D19)</f>
        <v>3062202.025</v>
      </c>
      <c r="E20" s="10" t="n">
        <f aca="false">SUM(E5:E19)</f>
        <v>2686790</v>
      </c>
      <c r="F20" s="10" t="n">
        <f aca="false">SUM(F5:F19)</f>
        <v>250775.75</v>
      </c>
      <c r="G20" s="10" t="n">
        <f aca="false">SUM(G5:G19)</f>
        <v>124636.275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7" min="3" style="0" width="18"/>
  </cols>
  <sheetData>
    <row r="2" customFormat="false" ht="16.15" hidden="false" customHeight="false" outlineLevel="0" collapsed="false">
      <c r="B2" s="1" t="str">
        <f aca="false">_xlfn.CONCAT("CRUSHER SUMMARY ",TEXT(B4,"dd-mmm-yy"))</f>
        <v>CRUSHER SUMMARY 29-Jul-26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n">
        <v>46232</v>
      </c>
      <c r="C4" s="3" t="s">
        <v>0</v>
      </c>
    </row>
    <row r="6" customFormat="false" ht="15" hidden="false" customHeight="false" outlineLevel="0" collapsed="false">
      <c r="B6" s="7" t="s">
        <v>11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239</v>
      </c>
    </row>
    <row r="7" customFormat="false" ht="15" hidden="false" customHeight="false" outlineLevel="0" collapsed="false">
      <c r="B7" s="4" t="s">
        <v>14</v>
      </c>
      <c r="C7" s="5" t="n">
        <f aca="false">SUMIFS('Daily Ledger'!$F:$F,'Daily Ledger'!$A:$A,$B$4,'Daily Ledger'!$C:$C,$B7)</f>
        <v>0</v>
      </c>
      <c r="D7" s="6" t="n">
        <f aca="false">SUMIFS('Daily Ledger'!$K:$K,'Daily Ledger'!$A:$A,$B$4,'Daily Ledger'!$C:$C,$B7)</f>
        <v>0</v>
      </c>
      <c r="E7" s="6" t="n">
        <f aca="false">SUMIFS('Daily Ledger'!$L:$L,'Daily Ledger'!$A:$A,$B$4,'Daily Ledger'!$C:$C,$B7)</f>
        <v>0</v>
      </c>
      <c r="F7" s="6" t="n">
        <f aca="false">SUMIFS('Daily Ledger'!$O:$O,'Daily Ledger'!$A:$A,$B$4,'Daily Ledger'!$C:$C,$B7)</f>
        <v>0</v>
      </c>
      <c r="G7" s="6" t="n">
        <f aca="false">D7-E7-F7</f>
        <v>0</v>
      </c>
    </row>
    <row r="8" customFormat="false" ht="15" hidden="false" customHeight="false" outlineLevel="0" collapsed="false">
      <c r="B8" s="4" t="s">
        <v>233</v>
      </c>
      <c r="C8" s="5" t="n">
        <f aca="false">SUMIFS('Daily Ledger'!$F:$F,'Daily Ledger'!$A:$A,$B$4,'Daily Ledger'!$C:$C,$B8)</f>
        <v>0</v>
      </c>
      <c r="D8" s="6" t="n">
        <f aca="false">SUMIFS('Daily Ledger'!$K:$K,'Daily Ledger'!$A:$A,$B$4,'Daily Ledger'!$C:$C,$B8)</f>
        <v>0</v>
      </c>
      <c r="E8" s="6" t="n">
        <f aca="false">SUMIFS('Daily Ledger'!$L:$L,'Daily Ledger'!$A:$A,$B$4,'Daily Ledger'!$C:$C,$B8)</f>
        <v>0</v>
      </c>
      <c r="F8" s="6" t="n">
        <f aca="false">SUMIFS('Daily Ledger'!$O:$O,'Daily Ledger'!$A:$A,$B$4,'Daily Ledger'!$C:$C,$B8)</f>
        <v>0</v>
      </c>
      <c r="G8" s="6" t="n">
        <f aca="false">D8-E8-F8</f>
        <v>0</v>
      </c>
    </row>
    <row r="9" customFormat="false" ht="15" hidden="false" customHeight="false" outlineLevel="0" collapsed="false">
      <c r="B9" s="4" t="s">
        <v>15</v>
      </c>
      <c r="C9" s="5" t="n">
        <f aca="false">SUMIFS('Daily Ledger'!$F:$F,'Daily Ledger'!$A:$A,$B$4,'Daily Ledger'!$C:$C,$B9)</f>
        <v>166.89</v>
      </c>
      <c r="D9" s="6" t="n">
        <f aca="false">SUMIFS('Daily Ledger'!$K:$K,'Daily Ledger'!$A:$A,$B$4,'Daily Ledger'!$C:$C,$B9)</f>
        <v>112650.75</v>
      </c>
      <c r="E9" s="6" t="n">
        <f aca="false">SUMIFS('Daily Ledger'!$L:$L,'Daily Ledger'!$A:$A,$B$4,'Daily Ledger'!$C:$C,$B9)</f>
        <v>108480</v>
      </c>
      <c r="F9" s="6" t="n">
        <f aca="false">SUMIFS('Daily Ledger'!$O:$O,'Daily Ledger'!$A:$A,$B$4,'Daily Ledger'!$C:$C,$B9)</f>
        <v>0</v>
      </c>
      <c r="G9" s="6" t="n">
        <f aca="false">D9-E9-F9</f>
        <v>4170.75</v>
      </c>
    </row>
    <row r="10" customFormat="false" ht="15" hidden="false" customHeight="false" outlineLevel="0" collapsed="false">
      <c r="B10" s="4" t="s">
        <v>16</v>
      </c>
      <c r="C10" s="5" t="n">
        <f aca="false">SUMIFS('Daily Ledger'!$F:$F,'Daily Ledger'!$A:$A,$B$4,'Daily Ledger'!$C:$C,$B10)</f>
        <v>277.87</v>
      </c>
      <c r="D10" s="6" t="n">
        <f aca="false">SUMIFS('Daily Ledger'!$K:$K,'Daily Ledger'!$A:$A,$B$4,'Daily Ledger'!$C:$C,$B10)</f>
        <v>250083</v>
      </c>
      <c r="E10" s="6" t="n">
        <f aca="false">SUMIFS('Daily Ledger'!$L:$L,'Daily Ledger'!$A:$A,$B$4,'Daily Ledger'!$C:$C,$B10)</f>
        <v>178150</v>
      </c>
      <c r="F10" s="6" t="n">
        <f aca="false">SUMIFS('Daily Ledger'!$O:$O,'Daily Ledger'!$A:$A,$B$4,'Daily Ledger'!$C:$C,$B10)</f>
        <v>62105.25</v>
      </c>
      <c r="G10" s="6" t="n">
        <f aca="false">D10-E10-F10</f>
        <v>9827.75</v>
      </c>
    </row>
    <row r="11" customFormat="false" ht="15" hidden="false" customHeight="false" outlineLevel="0" collapsed="false">
      <c r="B11" s="4" t="s">
        <v>17</v>
      </c>
      <c r="C11" s="5" t="n">
        <f aca="false">SUMIFS('Daily Ledger'!$F:$F,'Daily Ledger'!$A:$A,$B$4,'Daily Ledger'!$C:$C,$B11)</f>
        <v>0</v>
      </c>
      <c r="D11" s="6" t="n">
        <f aca="false">SUMIFS('Daily Ledger'!$K:$K,'Daily Ledger'!$A:$A,$B$4,'Daily Ledger'!$C:$C,$B11)</f>
        <v>0</v>
      </c>
      <c r="E11" s="6" t="n">
        <f aca="false">SUMIFS('Daily Ledger'!$L:$L,'Daily Ledger'!$A:$A,$B$4,'Daily Ledger'!$C:$C,$B11)</f>
        <v>0</v>
      </c>
      <c r="F11" s="6" t="n">
        <f aca="false">SUMIFS('Daily Ledger'!$O:$O,'Daily Ledger'!$A:$A,$B$4,'Daily Ledger'!$C:$C,$B11)</f>
        <v>0</v>
      </c>
      <c r="G11" s="6" t="n">
        <f aca="false">D11-E11-F11</f>
        <v>0</v>
      </c>
    </row>
    <row r="12" customFormat="false" ht="15" hidden="false" customHeight="false" outlineLevel="0" collapsed="false">
      <c r="B12" s="4" t="s">
        <v>18</v>
      </c>
      <c r="C12" s="5" t="n">
        <f aca="false">SUMIFS('Daily Ledger'!$F:$F,'Daily Ledger'!$A:$A,$B$4,'Daily Ledger'!$C:$C,$B12)</f>
        <v>194.12</v>
      </c>
      <c r="D12" s="6" t="n">
        <f aca="false">SUMIFS('Daily Ledger'!$K:$K,'Daily Ledger'!$A:$A,$B$4,'Daily Ledger'!$C:$C,$B12)</f>
        <v>168884.4</v>
      </c>
      <c r="E12" s="6" t="n">
        <f aca="false">SUMIFS('Daily Ledger'!$L:$L,'Daily Ledger'!$A:$A,$B$4,'Daily Ledger'!$C:$C,$B12)</f>
        <v>119410</v>
      </c>
      <c r="F12" s="6" t="n">
        <f aca="false">SUMIFS('Daily Ledger'!$O:$O,'Daily Ledger'!$A:$A,$B$4,'Daily Ledger'!$C:$C,$B12)</f>
        <v>41735.8</v>
      </c>
      <c r="G12" s="6" t="n">
        <f aca="false">D12-E12-F12</f>
        <v>7738.59999999999</v>
      </c>
    </row>
    <row r="13" customFormat="false" ht="15" hidden="false" customHeight="false" outlineLevel="0" collapsed="false">
      <c r="B13" s="4" t="s">
        <v>19</v>
      </c>
      <c r="C13" s="5" t="n">
        <f aca="false">SUMIFS('Daily Ledger'!$F:$F,'Daily Ledger'!$A:$A,$B$4,'Daily Ledger'!$C:$C,$B13)</f>
        <v>161.5</v>
      </c>
      <c r="D13" s="6" t="n">
        <f aca="false">SUMIFS('Daily Ledger'!$K:$K,'Daily Ledger'!$A:$A,$B$4,'Daily Ledger'!$C:$C,$B13)</f>
        <v>141312.5</v>
      </c>
      <c r="E13" s="6" t="n">
        <f aca="false">SUMIFS('Daily Ledger'!$L:$L,'Daily Ledger'!$A:$A,$B$4,'Daily Ledger'!$C:$C,$B13)</f>
        <v>102350</v>
      </c>
      <c r="F13" s="6" t="n">
        <f aca="false">SUMIFS('Daily Ledger'!$O:$O,'Daily Ledger'!$A:$A,$B$4,'Daily Ledger'!$C:$C,$B13)</f>
        <v>33915</v>
      </c>
      <c r="G13" s="6" t="n">
        <f aca="false">D13-E13-F13</f>
        <v>5047.5</v>
      </c>
    </row>
    <row r="14" customFormat="false" ht="15" hidden="false" customHeight="false" outlineLevel="0" collapsed="false">
      <c r="B14" s="4" t="s">
        <v>20</v>
      </c>
      <c r="C14" s="5" t="n">
        <f aca="false">SUMIFS('Daily Ledger'!$F:$F,'Daily Ledger'!$A:$A,$B$4,'Daily Ledger'!$C:$C,$B14)</f>
        <v>84.73</v>
      </c>
      <c r="D14" s="6" t="n">
        <f aca="false">SUMIFS('Daily Ledger'!$K:$K,'Daily Ledger'!$A:$A,$B$4,'Daily Ledger'!$C:$C,$B14)</f>
        <v>57192.75</v>
      </c>
      <c r="E14" s="6" t="n">
        <f aca="false">SUMIFS('Daily Ledger'!$L:$L,'Daily Ledger'!$A:$A,$B$4,'Daily Ledger'!$C:$C,$B14)</f>
        <v>52480</v>
      </c>
      <c r="F14" s="6" t="n">
        <f aca="false">SUMIFS('Daily Ledger'!$O:$O,'Daily Ledger'!$A:$A,$B$4,'Daily Ledger'!$C:$C,$B14)</f>
        <v>0</v>
      </c>
      <c r="G14" s="6" t="n">
        <f aca="false">D14-E14-F14</f>
        <v>4712.75000000001</v>
      </c>
    </row>
    <row r="15" customFormat="false" ht="15" hidden="false" customHeight="false" outlineLevel="0" collapsed="false">
      <c r="B15" s="4" t="s">
        <v>21</v>
      </c>
      <c r="C15" s="5" t="n">
        <f aca="false">SUMIFS('Daily Ledger'!$F:$F,'Daily Ledger'!$A:$A,$B$4,'Daily Ledger'!$C:$C,$B15)</f>
        <v>0</v>
      </c>
      <c r="D15" s="6" t="n">
        <f aca="false">SUMIFS('Daily Ledger'!$K:$K,'Daily Ledger'!$A:$A,$B$4,'Daily Ledger'!$C:$C,$B15)</f>
        <v>0</v>
      </c>
      <c r="E15" s="6" t="n">
        <f aca="false">SUMIFS('Daily Ledger'!$L:$L,'Daily Ledger'!$A:$A,$B$4,'Daily Ledger'!$C:$C,$B15)</f>
        <v>0</v>
      </c>
      <c r="F15" s="6" t="n">
        <f aca="false">SUMIFS('Daily Ledger'!$O:$O,'Daily Ledger'!$A:$A,$B$4,'Daily Ledger'!$C:$C,$B15)</f>
        <v>0</v>
      </c>
      <c r="G15" s="6" t="n">
        <f aca="false">D15-E15-F15</f>
        <v>0</v>
      </c>
    </row>
    <row r="16" customFormat="false" ht="15" hidden="false" customHeight="false" outlineLevel="0" collapsed="false">
      <c r="B16" s="4" t="s">
        <v>22</v>
      </c>
      <c r="C16" s="5" t="n">
        <f aca="false">SUMIFS('Daily Ledger'!$F:$F,'Daily Ledger'!$A:$A,$B$4,'Daily Ledger'!$C:$C,$B16)</f>
        <v>0</v>
      </c>
      <c r="D16" s="6" t="n">
        <f aca="false">SUMIFS('Daily Ledger'!$K:$K,'Daily Ledger'!$A:$A,$B$4,'Daily Ledger'!$C:$C,$B16)</f>
        <v>0</v>
      </c>
      <c r="E16" s="6" t="n">
        <f aca="false">SUMIFS('Daily Ledger'!$L:$L,'Daily Ledger'!$A:$A,$B$4,'Daily Ledger'!$C:$C,$B16)</f>
        <v>0</v>
      </c>
      <c r="F16" s="6" t="n">
        <f aca="false">SUMIFS('Daily Ledger'!$O:$O,'Daily Ledger'!$A:$A,$B$4,'Daily Ledger'!$C:$C,$B16)</f>
        <v>0</v>
      </c>
      <c r="G16" s="6" t="n">
        <f aca="false">D16-E16-F16</f>
        <v>0</v>
      </c>
    </row>
    <row r="17" customFormat="false" ht="15" hidden="false" customHeight="false" outlineLevel="0" collapsed="false">
      <c r="B17" s="4" t="s">
        <v>23</v>
      </c>
      <c r="C17" s="5" t="n">
        <f aca="false">SUMIFS('Daily Ledger'!$F:$F,'Daily Ledger'!$A:$A,$B$4,'Daily Ledger'!$C:$C,$B17)</f>
        <v>0</v>
      </c>
      <c r="D17" s="6" t="n">
        <f aca="false">SUMIFS('Daily Ledger'!$K:$K,'Daily Ledger'!$A:$A,$B$4,'Daily Ledger'!$C:$C,$B17)</f>
        <v>0</v>
      </c>
      <c r="E17" s="6" t="n">
        <f aca="false">SUMIFS('Daily Ledger'!$L:$L,'Daily Ledger'!$A:$A,$B$4,'Daily Ledger'!$C:$C,$B17)</f>
        <v>0</v>
      </c>
      <c r="F17" s="6" t="n">
        <f aca="false">SUMIFS('Daily Ledger'!$O:$O,'Daily Ledger'!$A:$A,$B$4,'Daily Ledger'!$C:$C,$B17)</f>
        <v>0</v>
      </c>
      <c r="G17" s="6" t="n">
        <f aca="false">D17-E17-F17</f>
        <v>0</v>
      </c>
    </row>
    <row r="18" customFormat="false" ht="15" hidden="false" customHeight="false" outlineLevel="0" collapsed="false">
      <c r="B18" s="4" t="s">
        <v>24</v>
      </c>
      <c r="C18" s="5" t="n">
        <f aca="false">SUMIFS('Daily Ledger'!$F:$F,'Daily Ledger'!$A:$A,$B$4,'Daily Ledger'!$C:$C,$B18)</f>
        <v>0</v>
      </c>
      <c r="D18" s="6" t="n">
        <f aca="false">SUMIFS('Daily Ledger'!$K:$K,'Daily Ledger'!$A:$A,$B$4,'Daily Ledger'!$C:$C,$B18)</f>
        <v>0</v>
      </c>
      <c r="E18" s="6" t="n">
        <f aca="false">SUMIFS('Daily Ledger'!$L:$L,'Daily Ledger'!$A:$A,$B$4,'Daily Ledger'!$C:$C,$B18)</f>
        <v>0</v>
      </c>
      <c r="F18" s="6" t="n">
        <f aca="false">SUMIFS('Daily Ledger'!$O:$O,'Daily Ledger'!$A:$A,$B$4,'Daily Ledger'!$C:$C,$B18)</f>
        <v>0</v>
      </c>
      <c r="G18" s="6" t="n">
        <f aca="false">D18-E18-F18</f>
        <v>0</v>
      </c>
    </row>
    <row r="19" customFormat="false" ht="15" hidden="false" customHeight="false" outlineLevel="0" collapsed="false">
      <c r="B19" s="4" t="s">
        <v>25</v>
      </c>
      <c r="C19" s="5" t="n">
        <f aca="false">SUMIFS('Daily Ledger'!$F:$F,'Daily Ledger'!$A:$A,$B$4,'Daily Ledger'!$C:$C,$B19)</f>
        <v>71.07</v>
      </c>
      <c r="D19" s="6" t="n">
        <f aca="false">SUMIFS('Daily Ledger'!$K:$K,'Daily Ledger'!$A:$A,$B$4,'Daily Ledger'!$C:$C,$B19)</f>
        <v>47972.25</v>
      </c>
      <c r="E19" s="6" t="n">
        <f aca="false">SUMIFS('Daily Ledger'!$L:$L,'Daily Ledger'!$A:$A,$B$4,'Daily Ledger'!$C:$C,$B19)</f>
        <v>46200</v>
      </c>
      <c r="F19" s="6" t="n">
        <f aca="false">SUMIFS('Daily Ledger'!$O:$O,'Daily Ledger'!$A:$A,$B$4,'Daily Ledger'!$C:$C,$B19)</f>
        <v>0</v>
      </c>
      <c r="G19" s="6" t="n">
        <f aca="false">D19-E19-F19</f>
        <v>1772.25</v>
      </c>
    </row>
    <row r="20" customFormat="false" ht="15" hidden="false" customHeight="false" outlineLevel="0" collapsed="false">
      <c r="B20" s="4" t="s">
        <v>26</v>
      </c>
      <c r="C20" s="5" t="n">
        <f aca="false">SUMIFS('Daily Ledger'!$F:$F,'Daily Ledger'!$A:$A,$B$4,'Daily Ledger'!$C:$C,$B20)</f>
        <v>0</v>
      </c>
      <c r="D20" s="6" t="n">
        <f aca="false">SUMIFS('Daily Ledger'!$K:$K,'Daily Ledger'!$A:$A,$B$4,'Daily Ledger'!$C:$C,$B20)</f>
        <v>0</v>
      </c>
      <c r="E20" s="6" t="n">
        <f aca="false">SUMIFS('Daily Ledger'!$L:$L,'Daily Ledger'!$A:$A,$B$4,'Daily Ledger'!$C:$C,$B20)</f>
        <v>0</v>
      </c>
      <c r="F20" s="6" t="n">
        <f aca="false">SUMIFS('Daily Ledger'!$O:$O,'Daily Ledger'!$A:$A,$B$4,'Daily Ledger'!$C:$C,$B20)</f>
        <v>0</v>
      </c>
      <c r="G20" s="6" t="n">
        <f aca="false">D20-E20-F20</f>
        <v>0</v>
      </c>
    </row>
    <row r="21" customFormat="false" ht="15" hidden="false" customHeight="false" outlineLevel="0" collapsed="false">
      <c r="B21" s="4" t="s">
        <v>27</v>
      </c>
      <c r="C21" s="5" t="n">
        <f aca="false">SUMIFS('Daily Ledger'!$F:$F,'Daily Ledger'!$A:$A,$B$4,'Daily Ledger'!$C:$C,$B21)</f>
        <v>0</v>
      </c>
      <c r="D21" s="6" t="n">
        <f aca="false">SUMIFS('Daily Ledger'!$K:$K,'Daily Ledger'!$A:$A,$B$4,'Daily Ledger'!$C:$C,$B21)</f>
        <v>0</v>
      </c>
      <c r="E21" s="6" t="n">
        <f aca="false">SUMIFS('Daily Ledger'!$L:$L,'Daily Ledger'!$A:$A,$B$4,'Daily Ledger'!$C:$C,$B21)</f>
        <v>0</v>
      </c>
      <c r="F21" s="6" t="n">
        <f aca="false">SUMIFS('Daily Ledger'!$O:$O,'Daily Ledger'!$A:$A,$B$4,'Daily Ledger'!$C:$C,$B21)</f>
        <v>0</v>
      </c>
      <c r="G21" s="6" t="n">
        <f aca="false">D21-E21-F21</f>
        <v>0</v>
      </c>
    </row>
    <row r="22" customFormat="false" ht="15" hidden="false" customHeight="false" outlineLevel="0" collapsed="false">
      <c r="B22" s="7" t="s">
        <v>61</v>
      </c>
      <c r="C22" s="9" t="n">
        <f aca="false">SUM(C7:C21)</f>
        <v>956.18</v>
      </c>
      <c r="D22" s="10" t="n">
        <f aca="false">SUM(D7:D21)</f>
        <v>778095.65</v>
      </c>
      <c r="E22" s="10" t="n">
        <f aca="false">SUM(E7:E21)</f>
        <v>607070</v>
      </c>
      <c r="F22" s="10" t="n">
        <f aca="false">SUM(F7:F21)</f>
        <v>137756.05</v>
      </c>
      <c r="G22" s="10" t="n">
        <f aca="false">SUM(G7:G21)</f>
        <v>33269.6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2026-07-29T18:47:02Z</dcterms:created>
  <dc:creator>openpyxl</dc:creator>
  <dc:description/>
  <dc:language>en-US</dc:language>
  <cp:lastModifiedBy/>
  <dcterms:modified xsi:type="dcterms:W3CDTF">2026-07-29T18:47:02Z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